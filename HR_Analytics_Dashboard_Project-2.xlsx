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2a419b152104eaa/Desktop/"/>
    </mc:Choice>
  </mc:AlternateContent>
  <xr:revisionPtr revIDLastSave="0" documentId="8_{1F2C718C-8E21-486F-9538-FA3E5D37B7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R Data" sheetId="2" r:id="rId1"/>
    <sheet name="Summary Data" sheetId="4" r:id="rId2"/>
  </sheets>
  <calcPr calcId="191029"/>
</workbook>
</file>

<file path=xl/calcChain.xml><?xml version="1.0" encoding="utf-8"?>
<calcChain xmlns="http://schemas.openxmlformats.org/spreadsheetml/2006/main">
  <c r="I6" i="4" l="1"/>
  <c r="I5" i="4"/>
  <c r="I4" i="4"/>
  <c r="C4" i="4"/>
  <c r="B4" i="4"/>
  <c r="I3" i="4"/>
  <c r="F3" i="4"/>
  <c r="C3" i="4"/>
  <c r="B3" i="4"/>
  <c r="I2" i="4"/>
  <c r="F2" i="4"/>
  <c r="C2" i="4"/>
  <c r="B2" i="4"/>
</calcChain>
</file>

<file path=xl/sharedStrings.xml><?xml version="1.0" encoding="utf-8"?>
<sst xmlns="http://schemas.openxmlformats.org/spreadsheetml/2006/main" count="3232" uniqueCount="448">
  <si>
    <t>EmployeeID</t>
  </si>
  <si>
    <t>Age</t>
  </si>
  <si>
    <t>Gender</t>
  </si>
  <si>
    <t>Department</t>
  </si>
  <si>
    <t>JobRole</t>
  </si>
  <si>
    <t>Education</t>
  </si>
  <si>
    <t>MaritalStatus</t>
  </si>
  <si>
    <t>MonthlyIncome</t>
  </si>
  <si>
    <t>JobSatisfaction</t>
  </si>
  <si>
    <t>WorkLifeBalance</t>
  </si>
  <si>
    <t>YearsAtCompany</t>
  </si>
  <si>
    <t>OverTime</t>
  </si>
  <si>
    <t>PerformanceRating</t>
  </si>
  <si>
    <t>Attrition</t>
  </si>
  <si>
    <t>JoiningDate</t>
  </si>
  <si>
    <t>EMP0001</t>
  </si>
  <si>
    <t>Male</t>
  </si>
  <si>
    <t>Human Resources</t>
  </si>
  <si>
    <t>HR Executive</t>
  </si>
  <si>
    <t>Life Sciences</t>
  </si>
  <si>
    <t>Single</t>
  </si>
  <si>
    <t>No</t>
  </si>
  <si>
    <t>EMP0002</t>
  </si>
  <si>
    <t>Sales</t>
  </si>
  <si>
    <t>Sales Executive</t>
  </si>
  <si>
    <t>Medical</t>
  </si>
  <si>
    <t>Divorced</t>
  </si>
  <si>
    <t>Yes</t>
  </si>
  <si>
    <t>EMP0003</t>
  </si>
  <si>
    <t>Female</t>
  </si>
  <si>
    <t>Research &amp; Development</t>
  </si>
  <si>
    <t>Research Director</t>
  </si>
  <si>
    <t>Marketing</t>
  </si>
  <si>
    <t>EMP0004</t>
  </si>
  <si>
    <t>Research Scientist</t>
  </si>
  <si>
    <t>Other</t>
  </si>
  <si>
    <t>EMP0005</t>
  </si>
  <si>
    <t>Married</t>
  </si>
  <si>
    <t>EMP0006</t>
  </si>
  <si>
    <t>EMP0007</t>
  </si>
  <si>
    <t>Manufacturing Director</t>
  </si>
  <si>
    <t>EMP0008</t>
  </si>
  <si>
    <t>Sales Manager</t>
  </si>
  <si>
    <t>EMP0009</t>
  </si>
  <si>
    <t>EMP0010</t>
  </si>
  <si>
    <t>EMP0011</t>
  </si>
  <si>
    <t>HR Manager</t>
  </si>
  <si>
    <t>EMP0012</t>
  </si>
  <si>
    <t>EMP0013</t>
  </si>
  <si>
    <t>EMP0014</t>
  </si>
  <si>
    <t>EMP0015</t>
  </si>
  <si>
    <t>EMP0016</t>
  </si>
  <si>
    <t>Technical Degree</t>
  </si>
  <si>
    <t>EMP0017</t>
  </si>
  <si>
    <t>EMP0018</t>
  </si>
  <si>
    <t>Sales Representative</t>
  </si>
  <si>
    <t>EMP0019</t>
  </si>
  <si>
    <t>Laboratory Technician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</si>
  <si>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</si>
  <si>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</si>
  <si>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</si>
  <si>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</si>
  <si>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</si>
  <si>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</si>
  <si>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</si>
  <si>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</si>
  <si>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</si>
  <si>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</si>
  <si>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</si>
  <si>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</si>
  <si>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</si>
  <si>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</si>
  <si>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</si>
  <si>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</si>
  <si>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</si>
  <si>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</si>
  <si>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</si>
  <si>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</si>
  <si>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</si>
  <si>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</si>
  <si>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</si>
  <si>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</si>
  <si>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</si>
  <si>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</si>
  <si>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</si>
  <si>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</si>
  <si>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</si>
  <si>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</si>
  <si>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</si>
  <si>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</si>
  <si>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</si>
  <si>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</si>
  <si>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</si>
  <si>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</si>
  <si>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</si>
  <si>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</si>
  <si>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</si>
  <si>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</si>
  <si>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</si>
  <si>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</si>
  <si>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</si>
  <si>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</si>
  <si>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</si>
  <si>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</si>
  <si>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</si>
  <si>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</si>
  <si>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</si>
  <si>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</si>
  <si>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</si>
  <si>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</si>
  <si>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</si>
  <si>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</si>
  <si>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</si>
  <si>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</si>
  <si>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</si>
  <si>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</si>
  <si>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</si>
  <si>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</si>
  <si>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</si>
  <si>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</si>
  <si>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</si>
  <si>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</si>
  <si>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</si>
  <si>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</si>
  <si>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</si>
  <si>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</si>
  <si>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</si>
  <si>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</si>
  <si>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</si>
  <si>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</si>
  <si>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</si>
  <si>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</si>
  <si>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</si>
  <si>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</si>
  <si>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</si>
  <si>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</si>
  <si>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</si>
  <si>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</si>
  <si>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</si>
  <si>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</si>
  <si>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</si>
  <si>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</si>
  <si>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</si>
  <si>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</si>
  <si>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</si>
  <si>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</si>
  <si>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</si>
  <si>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</si>
  <si>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</si>
  <si>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</si>
  <si>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</si>
  <si>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</si>
  <si>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</si>
  <si>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</si>
  <si>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</si>
  <si>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</si>
  <si>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</si>
  <si>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</si>
  <si>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</si>
  <si>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</si>
  <si>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</si>
  <si>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</si>
  <si>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</si>
  <si>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</si>
  <si>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</si>
  <si>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</si>
  <si>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</si>
  <si>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</si>
  <si>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</si>
  <si>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</si>
  <si>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</si>
  <si>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</si>
  <si>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</si>
  <si>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</si>
  <si>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</si>
  <si>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</si>
  <si>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</si>
  <si>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</si>
  <si>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</si>
  <si>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</si>
  <si>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</si>
  <si>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</si>
  <si>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</si>
  <si>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</si>
  <si>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</si>
  <si>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</si>
  <si>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</si>
  <si>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</si>
  <si>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</si>
  <si>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</si>
  <si>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</si>
  <si>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</si>
  <si>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</si>
  <si>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</si>
  <si>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</si>
  <si>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</si>
  <si>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</si>
  <si>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</si>
  <si>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</si>
  <si>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</si>
  <si>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</si>
  <si>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</si>
  <si>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</si>
  <si>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</si>
  <si>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</si>
  <si>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</si>
  <si>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</si>
  <si>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</si>
  <si>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</si>
  <si>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</si>
  <si>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</si>
  <si>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</si>
  <si>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</si>
  <si>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</si>
  <si>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</si>
  <si>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</si>
  <si>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</si>
  <si>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</si>
  <si>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</si>
  <si>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</si>
  <si>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</si>
  <si>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</si>
  <si>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</si>
  <si>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</si>
  <si>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</si>
  <si>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</si>
  <si>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</si>
  <si>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</si>
  <si>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</si>
  <si>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</si>
  <si>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</si>
  <si>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</si>
  <si>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</si>
  <si>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</si>
  <si>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</si>
  <si>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</si>
  <si>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</si>
  <si>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</si>
  <si>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</si>
  <si>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</si>
  <si>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</si>
  <si>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</si>
  <si>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</si>
  <si>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</si>
  <si>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</si>
  <si>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</si>
  <si>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</si>
  <si>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</si>
  <si>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</si>
  <si>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</si>
  <si>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</si>
  <si>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</si>
  <si>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</si>
  <si>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</si>
  <si>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</si>
  <si>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</si>
  <si>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</si>
  <si>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</si>
  <si>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</si>
  <si>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</si>
  <si>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</si>
  <si>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</si>
  <si>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</si>
  <si>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</si>
  <si>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</si>
  <si>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</si>
  <si>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</si>
  <si>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</si>
  <si>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</si>
  <si>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</si>
  <si>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</si>
  <si>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</si>
  <si>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</si>
  <si>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</si>
  <si>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</si>
  <si>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</si>
  <si>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</si>
  <si>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</si>
  <si>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</si>
  <si>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</si>
  <si>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</si>
  <si>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</si>
  <si>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</si>
  <si>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</si>
  <si>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</si>
  <si>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</si>
  <si>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</si>
  <si>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</si>
  <si>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</si>
  <si>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</si>
  <si>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</si>
  <si>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</si>
  <si>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</si>
  <si>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</si>
  <si>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</si>
  <si>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</si>
  <si>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</si>
  <si>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</si>
  <si>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</si>
  <si>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</si>
  <si>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</si>
  <si>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</si>
  <si>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</si>
  <si>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</si>
  <si>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</si>
  <si>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</si>
  <si>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</si>
  <si>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</si>
  <si>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</si>
  <si>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</si>
  <si>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</si>
  <si>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</si>
  <si>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</si>
  <si>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</si>
  <si>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</si>
  <si>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</si>
  <si>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</si>
  <si>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</si>
  <si>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</si>
  <si>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</si>
  <si>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</si>
  <si>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</si>
  <si>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</si>
  <si>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</si>
  <si>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</si>
  <si>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</si>
  <si>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</si>
  <si>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</si>
  <si>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</si>
  <si>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</si>
  <si>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</si>
  <si>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</si>
  <si>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</si>
  <si>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</si>
  <si>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</si>
  <si>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</si>
  <si>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</si>
  <si>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</si>
  <si>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</si>
  <si>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</si>
  <si>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</si>
  <si>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</si>
  <si>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</si>
  <si>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</si>
  <si>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</si>
  <si>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</si>
  <si>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</si>
  <si>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</si>
  <si>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</si>
  <si>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</si>
  <si>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</si>
  <si>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</si>
  <si>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</si>
  <si>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</si>
  <si>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</si>
  <si>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</si>
  <si>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</si>
  <si>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</si>
  <si>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</si>
  <si>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</si>
  <si>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</si>
  <si>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</si>
  <si>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</si>
  <si>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</si>
  <si>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</si>
  <si>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</si>
  <si>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</si>
  <si>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</si>
  <si>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</si>
  <si>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</si>
  <si>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</si>
  <si>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</si>
  <si>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</si>
  <si>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</si>
  <si>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</si>
  <si>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</si>
  <si>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</si>
  <si>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</si>
  <si>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</si>
  <si>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</si>
  <si>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</si>
  <si>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</si>
  <si>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</si>
  <si>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</si>
  <si>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</si>
  <si>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</si>
  <si>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</si>
  <si>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</si>
  <si>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</si>
  <si>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</si>
  <si>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</si>
  <si>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</si>
  <si>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</si>
  <si>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</si>
  <si>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</si>
  <si>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</si>
  <si>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</si>
  <si>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</si>
  <si>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</si>
  <si>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</si>
  <si>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</si>
  <si>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</si>
  <si>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</si>
  <si>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</si>
  <si>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</si>
  <si>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</si>
  <si>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</si>
  <si>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</si>
  <si>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</si>
  <si>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</si>
  <si>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</si>
  <si>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</si>
  <si>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</si>
  <si>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</si>
  <si>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</si>
  <si>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</si>
  <si>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</si>
  <si>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</si>
  <si>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</si>
  <si>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</si>
  <si>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</si>
  <si>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</si>
  <si>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</si>
  <si>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</si>
  <si>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</si>
  <si>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</si>
  <si>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</si>
  <si>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</si>
  <si>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</si>
  <si>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</si>
  <si>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</si>
  <si>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</si>
  <si>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</si>
  <si>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</si>
  <si>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</si>
  <si>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</si>
  <si>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</si>
  <si>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</si>
  <si>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</si>
  <si>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Total Employees</t>
  </si>
  <si>
    <t>Attrition Count</t>
  </si>
  <si>
    <t>Employees</t>
  </si>
  <si>
    <t>Age Group</t>
  </si>
  <si>
    <t>18-25</t>
  </si>
  <si>
    <t>26-35</t>
  </si>
  <si>
    <t>36-45</t>
  </si>
  <si>
    <t>46-55</t>
  </si>
  <si>
    <t>56+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</si>
</sst>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3" borderId="1" xfId="0" applyFont="1" applyFill="1" applyBorder="1"/>
    <xf numFmtId="0" fontId="1" fillId="3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8" customWidth="1"/>
    <col min="4" max="4" width="25" customWidth="1"/>
    <col min="5" max="5" width="24" customWidth="1"/>
    <col min="6" max="15" width="18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>
        <v>23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47256</v>
      </c>
      <c r="I2">
        <v>2</v>
      </c>
      <c r="J2">
        <v>1</v>
      </c>
      <c r="K2">
        <v>0</v>
      </c>
      <c r="L2" t="s">
        <v>21</v>
      </c>
      <c r="M2">
        <v>3</v>
      </c>
      <c r="N2" t="s">
        <v>21</v>
      </c>
      <c r="O2" s="2">
        <v>45461</v>
      </c>
    </row>
    <row r="3" spans="1:15" x14ac:dyDescent="0.35">
      <c r="A3" t="s">
        <v>22</v>
      </c>
      <c r="B3">
        <v>54</v>
      </c>
      <c r="C3" t="s">
        <v>16</v>
      </c>
      <c r="D3" t="s">
        <v>23</v>
      </c>
      <c r="E3" t="s">
        <v>24</v>
      </c>
      <c r="F3" t="s">
        <v>25</v>
      </c>
      <c r="G3" t="s">
        <v>26</v>
      </c>
      <c r="H3">
        <v>44062</v>
      </c>
      <c r="I3">
        <v>4</v>
      </c>
      <c r="J3">
        <v>2</v>
      </c>
      <c r="K3">
        <v>17</v>
      </c>
      <c r="L3" t="s">
        <v>27</v>
      </c>
      <c r="M3">
        <v>4</v>
      </c>
      <c r="N3" t="s">
        <v>21</v>
      </c>
      <c r="O3" s="2">
        <v>44283</v>
      </c>
    </row>
    <row r="4" spans="1:15" x14ac:dyDescent="0.35">
      <c r="A4" t="s">
        <v>28</v>
      </c>
      <c r="B4">
        <v>39</v>
      </c>
      <c r="C4" t="s">
        <v>29</v>
      </c>
      <c r="D4" t="s">
        <v>30</v>
      </c>
      <c r="E4" t="s">
        <v>31</v>
      </c>
      <c r="F4" t="s">
        <v>32</v>
      </c>
      <c r="G4" t="s">
        <v>26</v>
      </c>
      <c r="H4">
        <v>118072</v>
      </c>
      <c r="I4">
        <v>3</v>
      </c>
      <c r="J4">
        <v>1</v>
      </c>
      <c r="K4">
        <v>6</v>
      </c>
      <c r="L4" t="s">
        <v>27</v>
      </c>
      <c r="M4">
        <v>3</v>
      </c>
      <c r="N4" t="s">
        <v>21</v>
      </c>
      <c r="O4" s="2">
        <v>42797</v>
      </c>
    </row>
    <row r="5" spans="1:15" x14ac:dyDescent="0.35">
      <c r="A5" t="s">
        <v>33</v>
      </c>
      <c r="B5">
        <v>51</v>
      </c>
      <c r="C5" t="s">
        <v>16</v>
      </c>
      <c r="D5" t="s">
        <v>30</v>
      </c>
      <c r="E5" t="s">
        <v>34</v>
      </c>
      <c r="F5" t="s">
        <v>35</v>
      </c>
      <c r="G5" t="s">
        <v>20</v>
      </c>
      <c r="H5">
        <v>28328</v>
      </c>
      <c r="I5">
        <v>3</v>
      </c>
      <c r="J5">
        <v>3</v>
      </c>
      <c r="K5">
        <v>12</v>
      </c>
      <c r="L5" t="s">
        <v>27</v>
      </c>
      <c r="M5">
        <v>3</v>
      </c>
      <c r="N5" t="s">
        <v>21</v>
      </c>
      <c r="O5" s="2">
        <v>42574</v>
      </c>
    </row>
    <row r="6" spans="1:15" x14ac:dyDescent="0.35">
      <c r="A6" t="s">
        <v>36</v>
      </c>
      <c r="B6">
        <v>36</v>
      </c>
      <c r="C6" t="s">
        <v>16</v>
      </c>
      <c r="D6" t="s">
        <v>30</v>
      </c>
      <c r="E6" t="s">
        <v>34</v>
      </c>
      <c r="F6" t="s">
        <v>35</v>
      </c>
      <c r="G6" t="s">
        <v>37</v>
      </c>
      <c r="H6">
        <v>54434</v>
      </c>
      <c r="I6">
        <v>4</v>
      </c>
      <c r="J6">
        <v>3</v>
      </c>
      <c r="K6">
        <v>12</v>
      </c>
      <c r="L6" t="s">
        <v>27</v>
      </c>
      <c r="M6">
        <v>3</v>
      </c>
      <c r="N6" t="s">
        <v>21</v>
      </c>
      <c r="O6" s="2">
        <v>44915</v>
      </c>
    </row>
    <row r="7" spans="1:15" x14ac:dyDescent="0.35">
      <c r="A7" t="s">
        <v>38</v>
      </c>
      <c r="B7">
        <v>32</v>
      </c>
      <c r="C7" t="s">
        <v>16</v>
      </c>
      <c r="D7" t="s">
        <v>17</v>
      </c>
      <c r="E7" t="s">
        <v>18</v>
      </c>
      <c r="F7" t="s">
        <v>25</v>
      </c>
      <c r="G7" t="s">
        <v>20</v>
      </c>
      <c r="H7">
        <v>78589</v>
      </c>
      <c r="I7">
        <v>4</v>
      </c>
      <c r="J7">
        <v>3</v>
      </c>
      <c r="K7">
        <v>2</v>
      </c>
      <c r="L7" t="s">
        <v>27</v>
      </c>
      <c r="M7">
        <v>3</v>
      </c>
      <c r="N7" t="s">
        <v>21</v>
      </c>
      <c r="O7" s="2">
        <v>44661</v>
      </c>
    </row>
    <row r="8" spans="1:15" x14ac:dyDescent="0.35">
      <c r="A8" t="s">
        <v>39</v>
      </c>
      <c r="B8">
        <v>39</v>
      </c>
      <c r="C8" t="s">
        <v>16</v>
      </c>
      <c r="D8" t="s">
        <v>30</v>
      </c>
      <c r="E8" t="s">
        <v>40</v>
      </c>
      <c r="F8" t="s">
        <v>32</v>
      </c>
      <c r="G8" t="s">
        <v>20</v>
      </c>
      <c r="H8">
        <v>92341</v>
      </c>
      <c r="I8">
        <v>3</v>
      </c>
      <c r="J8">
        <v>2</v>
      </c>
      <c r="K8">
        <v>6</v>
      </c>
      <c r="L8" t="s">
        <v>27</v>
      </c>
      <c r="M8">
        <v>4</v>
      </c>
      <c r="N8" t="s">
        <v>21</v>
      </c>
      <c r="O8" s="2">
        <v>45763</v>
      </c>
    </row>
    <row r="9" spans="1:15" x14ac:dyDescent="0.35">
      <c r="A9" t="s">
        <v>41</v>
      </c>
      <c r="B9">
        <v>57</v>
      </c>
      <c r="C9" t="s">
        <v>29</v>
      </c>
      <c r="D9" t="s">
        <v>23</v>
      </c>
      <c r="E9" t="s">
        <v>42</v>
      </c>
      <c r="F9" t="s">
        <v>19</v>
      </c>
      <c r="G9" t="s">
        <v>20</v>
      </c>
      <c r="H9">
        <v>94622</v>
      </c>
      <c r="I9">
        <v>4</v>
      </c>
      <c r="J9">
        <v>4</v>
      </c>
      <c r="K9">
        <v>23</v>
      </c>
      <c r="L9" t="s">
        <v>21</v>
      </c>
      <c r="M9">
        <v>3</v>
      </c>
      <c r="N9" t="s">
        <v>21</v>
      </c>
      <c r="O9" s="2">
        <v>43138</v>
      </c>
    </row>
    <row r="10" spans="1:15" x14ac:dyDescent="0.35">
      <c r="A10" t="s">
        <v>43</v>
      </c>
      <c r="B10">
        <v>32</v>
      </c>
      <c r="C10" t="s">
        <v>16</v>
      </c>
      <c r="D10" t="s">
        <v>23</v>
      </c>
      <c r="E10" t="s">
        <v>24</v>
      </c>
      <c r="F10" t="s">
        <v>35</v>
      </c>
      <c r="G10" t="s">
        <v>26</v>
      </c>
      <c r="H10">
        <v>26326</v>
      </c>
      <c r="I10">
        <v>4</v>
      </c>
      <c r="J10">
        <v>4</v>
      </c>
      <c r="K10">
        <v>9</v>
      </c>
      <c r="L10" t="s">
        <v>21</v>
      </c>
      <c r="M10">
        <v>4</v>
      </c>
      <c r="N10" t="s">
        <v>21</v>
      </c>
      <c r="O10" s="2">
        <v>44064</v>
      </c>
    </row>
    <row r="11" spans="1:15" x14ac:dyDescent="0.35">
      <c r="A11" t="s">
        <v>44</v>
      </c>
      <c r="B11">
        <v>56</v>
      </c>
      <c r="C11" t="s">
        <v>29</v>
      </c>
      <c r="D11" t="s">
        <v>23</v>
      </c>
      <c r="E11" t="s">
        <v>42</v>
      </c>
      <c r="F11" t="s">
        <v>19</v>
      </c>
      <c r="G11" t="s">
        <v>26</v>
      </c>
      <c r="H11">
        <v>102012</v>
      </c>
      <c r="I11">
        <v>3</v>
      </c>
      <c r="J11">
        <v>1</v>
      </c>
      <c r="K11">
        <v>24</v>
      </c>
      <c r="L11" t="s">
        <v>21</v>
      </c>
      <c r="M11">
        <v>3</v>
      </c>
      <c r="N11" t="s">
        <v>21</v>
      </c>
      <c r="O11" s="2">
        <v>43300</v>
      </c>
    </row>
    <row r="12" spans="1:15" x14ac:dyDescent="0.35">
      <c r="A12" t="s">
        <v>45</v>
      </c>
      <c r="B12">
        <v>54</v>
      </c>
      <c r="C12" t="s">
        <v>16</v>
      </c>
      <c r="D12" t="s">
        <v>17</v>
      </c>
      <c r="E12" t="s">
        <v>46</v>
      </c>
      <c r="F12" t="s">
        <v>17</v>
      </c>
      <c r="G12" t="s">
        <v>37</v>
      </c>
      <c r="H12">
        <v>31947</v>
      </c>
      <c r="I12">
        <v>3</v>
      </c>
      <c r="J12">
        <v>2</v>
      </c>
      <c r="K12">
        <v>16</v>
      </c>
      <c r="L12" t="s">
        <v>27</v>
      </c>
      <c r="M12">
        <v>3</v>
      </c>
      <c r="N12" t="s">
        <v>21</v>
      </c>
      <c r="O12" s="2">
        <v>43328</v>
      </c>
    </row>
    <row r="13" spans="1:15" x14ac:dyDescent="0.35">
      <c r="A13" t="s">
        <v>47</v>
      </c>
      <c r="B13">
        <v>29</v>
      </c>
      <c r="C13" t="s">
        <v>16</v>
      </c>
      <c r="D13" t="s">
        <v>30</v>
      </c>
      <c r="E13" t="s">
        <v>34</v>
      </c>
      <c r="F13" t="s">
        <v>17</v>
      </c>
      <c r="G13" t="s">
        <v>20</v>
      </c>
      <c r="H13">
        <v>49385</v>
      </c>
      <c r="I13">
        <v>1</v>
      </c>
      <c r="J13">
        <v>2</v>
      </c>
      <c r="K13">
        <v>4</v>
      </c>
      <c r="L13" t="s">
        <v>21</v>
      </c>
      <c r="M13">
        <v>3</v>
      </c>
      <c r="N13" t="s">
        <v>27</v>
      </c>
      <c r="O13" s="2">
        <v>45986</v>
      </c>
    </row>
    <row r="14" spans="1:15" x14ac:dyDescent="0.35">
      <c r="A14" t="s">
        <v>48</v>
      </c>
      <c r="B14">
        <v>52</v>
      </c>
      <c r="C14" t="s">
        <v>29</v>
      </c>
      <c r="D14" t="s">
        <v>23</v>
      </c>
      <c r="E14" t="s">
        <v>42</v>
      </c>
      <c r="F14" t="s">
        <v>35</v>
      </c>
      <c r="G14" t="s">
        <v>26</v>
      </c>
      <c r="H14">
        <v>87163</v>
      </c>
      <c r="I14">
        <v>4</v>
      </c>
      <c r="J14">
        <v>2</v>
      </c>
      <c r="K14">
        <v>8</v>
      </c>
      <c r="L14" t="s">
        <v>27</v>
      </c>
      <c r="M14">
        <v>3</v>
      </c>
      <c r="N14" t="s">
        <v>21</v>
      </c>
      <c r="O14" s="2">
        <v>44558</v>
      </c>
    </row>
    <row r="15" spans="1:15" x14ac:dyDescent="0.35">
      <c r="A15" t="s">
        <v>49</v>
      </c>
      <c r="B15">
        <v>55</v>
      </c>
      <c r="C15" t="s">
        <v>16</v>
      </c>
      <c r="D15" t="s">
        <v>30</v>
      </c>
      <c r="E15" t="s">
        <v>40</v>
      </c>
      <c r="F15" t="s">
        <v>19</v>
      </c>
      <c r="G15" t="s">
        <v>20</v>
      </c>
      <c r="H15">
        <v>50493</v>
      </c>
      <c r="I15">
        <v>2</v>
      </c>
      <c r="J15">
        <v>1</v>
      </c>
      <c r="K15">
        <v>3</v>
      </c>
      <c r="L15" t="s">
        <v>21</v>
      </c>
      <c r="M15">
        <v>3</v>
      </c>
      <c r="N15" t="s">
        <v>27</v>
      </c>
      <c r="O15" s="2">
        <v>43890</v>
      </c>
    </row>
    <row r="16" spans="1:15" x14ac:dyDescent="0.35">
      <c r="A16" t="s">
        <v>50</v>
      </c>
      <c r="B16">
        <v>36</v>
      </c>
      <c r="C16" t="s">
        <v>16</v>
      </c>
      <c r="D16" t="s">
        <v>17</v>
      </c>
      <c r="E16" t="s">
        <v>18</v>
      </c>
      <c r="F16" t="s">
        <v>17</v>
      </c>
      <c r="G16" t="s">
        <v>20</v>
      </c>
      <c r="H16">
        <v>61309</v>
      </c>
      <c r="I16">
        <v>1</v>
      </c>
      <c r="J16">
        <v>2</v>
      </c>
      <c r="K16">
        <v>1</v>
      </c>
      <c r="L16" t="s">
        <v>27</v>
      </c>
      <c r="M16">
        <v>3</v>
      </c>
      <c r="N16" t="s">
        <v>21</v>
      </c>
      <c r="O16" s="2">
        <v>45981</v>
      </c>
    </row>
    <row r="17" spans="1:15" x14ac:dyDescent="0.35">
      <c r="A17" t="s">
        <v>51</v>
      </c>
      <c r="B17">
        <v>37</v>
      </c>
      <c r="C17" t="s">
        <v>29</v>
      </c>
      <c r="D17" t="s">
        <v>17</v>
      </c>
      <c r="E17" t="s">
        <v>46</v>
      </c>
      <c r="F17" t="s">
        <v>52</v>
      </c>
      <c r="G17" t="s">
        <v>26</v>
      </c>
      <c r="H17">
        <v>42957</v>
      </c>
      <c r="I17">
        <v>1</v>
      </c>
      <c r="J17">
        <v>1</v>
      </c>
      <c r="K17">
        <v>13</v>
      </c>
      <c r="L17" t="s">
        <v>21</v>
      </c>
      <c r="M17">
        <v>4</v>
      </c>
      <c r="N17" t="s">
        <v>21</v>
      </c>
      <c r="O17" s="2">
        <v>45474</v>
      </c>
    </row>
    <row r="18" spans="1:15" x14ac:dyDescent="0.35">
      <c r="A18" t="s">
        <v>53</v>
      </c>
      <c r="B18">
        <v>28</v>
      </c>
      <c r="C18" t="s">
        <v>29</v>
      </c>
      <c r="D18" t="s">
        <v>23</v>
      </c>
      <c r="E18" t="s">
        <v>42</v>
      </c>
      <c r="F18" t="s">
        <v>25</v>
      </c>
      <c r="G18" t="s">
        <v>37</v>
      </c>
      <c r="H18">
        <v>113448</v>
      </c>
      <c r="I18">
        <v>3</v>
      </c>
      <c r="J18">
        <v>1</v>
      </c>
      <c r="K18">
        <v>6</v>
      </c>
      <c r="L18" t="s">
        <v>27</v>
      </c>
      <c r="M18">
        <v>3</v>
      </c>
      <c r="N18" t="s">
        <v>21</v>
      </c>
      <c r="O18" s="2">
        <v>43563</v>
      </c>
    </row>
    <row r="19" spans="1:15" x14ac:dyDescent="0.35">
      <c r="A19" t="s">
        <v>54</v>
      </c>
      <c r="B19">
        <v>51</v>
      </c>
      <c r="C19" t="s">
        <v>16</v>
      </c>
      <c r="D19" t="s">
        <v>23</v>
      </c>
      <c r="E19" t="s">
        <v>55</v>
      </c>
      <c r="F19" t="s">
        <v>52</v>
      </c>
      <c r="G19" t="s">
        <v>37</v>
      </c>
      <c r="H19">
        <v>76082</v>
      </c>
      <c r="I19">
        <v>1</v>
      </c>
      <c r="J19">
        <v>1</v>
      </c>
      <c r="K19">
        <v>2</v>
      </c>
      <c r="L19" t="s">
        <v>27</v>
      </c>
      <c r="M19">
        <v>3</v>
      </c>
      <c r="N19" t="s">
        <v>27</v>
      </c>
      <c r="O19" s="2">
        <v>43941</v>
      </c>
    </row>
    <row r="20" spans="1:15" x14ac:dyDescent="0.35">
      <c r="A20" t="s">
        <v>56</v>
      </c>
      <c r="B20">
        <v>47</v>
      </c>
      <c r="C20" t="s">
        <v>29</v>
      </c>
      <c r="D20" t="s">
        <v>30</v>
      </c>
      <c r="E20" t="s">
        <v>57</v>
      </c>
      <c r="F20" t="s">
        <v>35</v>
      </c>
      <c r="G20" t="s">
        <v>26</v>
      </c>
      <c r="H20">
        <v>67672</v>
      </c>
      <c r="I20">
        <v>1</v>
      </c>
      <c r="J20">
        <v>4</v>
      </c>
      <c r="K20">
        <v>5</v>
      </c>
      <c r="L20" t="s">
        <v>27</v>
      </c>
      <c r="M20">
        <v>3</v>
      </c>
      <c r="N20" t="s">
        <v>21</v>
      </c>
      <c r="O20" s="2">
        <v>44341</v>
      </c>
    </row>
    <row r="21" spans="1:15" x14ac:dyDescent="0.35">
      <c r="A21" t="s">
        <v>58</v>
      </c>
      <c r="B21">
        <v>31</v>
      </c>
      <c r="C21" t="s">
        <v>29</v>
      </c>
      <c r="D21" t="s">
        <v>17</v>
      </c>
      <c r="E21" t="s">
        <v>46</v>
      </c>
      <c r="F21" t="s">
        <v>17</v>
      </c>
      <c r="G21" t="s">
        <v>26</v>
      </c>
      <c r="H21">
        <v>46534</v>
      </c>
      <c r="I21">
        <v>1</v>
      </c>
      <c r="J21">
        <v>1</v>
      </c>
      <c r="K21">
        <v>4</v>
      </c>
      <c r="L21" t="s">
        <v>27</v>
      </c>
      <c r="M21">
        <v>3</v>
      </c>
      <c r="N21" t="s">
        <v>27</v>
      </c>
      <c r="O21" s="2">
        <v>42415</v>
      </c>
    </row>
    <row r="22" spans="1:15" x14ac:dyDescent="0.35">
      <c r="A22" t="s">
        <v>59</v>
      </c>
      <c r="B22">
        <v>54</v>
      </c>
      <c r="C22" t="s">
        <v>16</v>
      </c>
      <c r="D22" t="s">
        <v>23</v>
      </c>
      <c r="E22" t="s">
        <v>24</v>
      </c>
      <c r="F22" t="s">
        <v>17</v>
      </c>
      <c r="G22" t="s">
        <v>20</v>
      </c>
      <c r="H22">
        <v>26981</v>
      </c>
      <c r="I22">
        <v>1</v>
      </c>
      <c r="J22">
        <v>2</v>
      </c>
      <c r="K22">
        <v>5</v>
      </c>
      <c r="L22" t="s">
        <v>27</v>
      </c>
      <c r="M22">
        <v>4</v>
      </c>
      <c r="N22" t="s">
        <v>27</v>
      </c>
      <c r="O22" s="2">
        <v>44021</v>
      </c>
    </row>
    <row r="23" spans="1:15" x14ac:dyDescent="0.35">
      <c r="A23" t="s">
        <v>60</v>
      </c>
      <c r="B23">
        <v>38</v>
      </c>
      <c r="C23" t="s">
        <v>29</v>
      </c>
      <c r="D23" t="s">
        <v>30</v>
      </c>
      <c r="E23" t="s">
        <v>31</v>
      </c>
      <c r="F23" t="s">
        <v>32</v>
      </c>
      <c r="G23" t="s">
        <v>20</v>
      </c>
      <c r="H23">
        <v>49285</v>
      </c>
      <c r="I23">
        <v>3</v>
      </c>
      <c r="J23">
        <v>4</v>
      </c>
      <c r="K23">
        <v>10</v>
      </c>
      <c r="L23" t="s">
        <v>27</v>
      </c>
      <c r="M23">
        <v>3</v>
      </c>
      <c r="N23" t="s">
        <v>21</v>
      </c>
      <c r="O23" s="2">
        <v>44462</v>
      </c>
    </row>
    <row r="24" spans="1:15" x14ac:dyDescent="0.35">
      <c r="A24" t="s">
        <v>61</v>
      </c>
      <c r="B24">
        <v>58</v>
      </c>
      <c r="C24" t="s">
        <v>16</v>
      </c>
      <c r="D24" t="s">
        <v>23</v>
      </c>
      <c r="E24" t="s">
        <v>55</v>
      </c>
      <c r="F24" t="s">
        <v>32</v>
      </c>
      <c r="G24" t="s">
        <v>37</v>
      </c>
      <c r="H24">
        <v>88468</v>
      </c>
      <c r="I24">
        <v>2</v>
      </c>
      <c r="J24">
        <v>3</v>
      </c>
      <c r="K24">
        <v>2</v>
      </c>
      <c r="L24" t="s">
        <v>27</v>
      </c>
      <c r="M24">
        <v>3</v>
      </c>
      <c r="N24" t="s">
        <v>21</v>
      </c>
      <c r="O24" s="2">
        <v>42568</v>
      </c>
    </row>
    <row r="25" spans="1:15" x14ac:dyDescent="0.35">
      <c r="A25" t="s">
        <v>62</v>
      </c>
      <c r="B25">
        <v>56</v>
      </c>
      <c r="C25" t="s">
        <v>16</v>
      </c>
      <c r="D25" t="s">
        <v>23</v>
      </c>
      <c r="E25" t="s">
        <v>55</v>
      </c>
      <c r="F25" t="s">
        <v>19</v>
      </c>
      <c r="G25" t="s">
        <v>26</v>
      </c>
      <c r="H25">
        <v>103717</v>
      </c>
      <c r="I25">
        <v>1</v>
      </c>
      <c r="J25">
        <v>3</v>
      </c>
      <c r="K25">
        <v>19</v>
      </c>
      <c r="L25" t="s">
        <v>21</v>
      </c>
      <c r="M25">
        <v>3</v>
      </c>
      <c r="N25" t="s">
        <v>27</v>
      </c>
      <c r="O25" s="2">
        <v>44171</v>
      </c>
    </row>
    <row r="26" spans="1:15" x14ac:dyDescent="0.35">
      <c r="A26" t="s">
        <v>63</v>
      </c>
      <c r="B26">
        <v>39</v>
      </c>
      <c r="C26" t="s">
        <v>29</v>
      </c>
      <c r="D26" t="s">
        <v>17</v>
      </c>
      <c r="E26" t="s">
        <v>18</v>
      </c>
      <c r="F26" t="s">
        <v>19</v>
      </c>
      <c r="G26" t="s">
        <v>20</v>
      </c>
      <c r="H26">
        <v>112058</v>
      </c>
      <c r="I26">
        <v>3</v>
      </c>
      <c r="J26">
        <v>2</v>
      </c>
      <c r="K26">
        <v>6</v>
      </c>
      <c r="L26" t="s">
        <v>21</v>
      </c>
      <c r="M26">
        <v>3</v>
      </c>
      <c r="N26" t="s">
        <v>21</v>
      </c>
      <c r="O26" s="2">
        <v>46007</v>
      </c>
    </row>
    <row r="27" spans="1:15" x14ac:dyDescent="0.35">
      <c r="A27" t="s">
        <v>64</v>
      </c>
      <c r="B27">
        <v>39</v>
      </c>
      <c r="C27" t="s">
        <v>29</v>
      </c>
      <c r="D27" t="s">
        <v>17</v>
      </c>
      <c r="E27" t="s">
        <v>46</v>
      </c>
      <c r="F27" t="s">
        <v>17</v>
      </c>
      <c r="G27" t="s">
        <v>20</v>
      </c>
      <c r="H27">
        <v>61719</v>
      </c>
      <c r="I27">
        <v>2</v>
      </c>
      <c r="J27">
        <v>3</v>
      </c>
      <c r="K27">
        <v>0</v>
      </c>
      <c r="L27" t="s">
        <v>27</v>
      </c>
      <c r="M27">
        <v>3</v>
      </c>
      <c r="N27" t="s">
        <v>21</v>
      </c>
      <c r="O27" s="2">
        <v>45624</v>
      </c>
    </row>
    <row r="28" spans="1:15" x14ac:dyDescent="0.35">
      <c r="A28" t="s">
        <v>65</v>
      </c>
      <c r="B28">
        <v>31</v>
      </c>
      <c r="C28" t="s">
        <v>29</v>
      </c>
      <c r="D28" t="s">
        <v>23</v>
      </c>
      <c r="E28" t="s">
        <v>24</v>
      </c>
      <c r="F28" t="s">
        <v>19</v>
      </c>
      <c r="G28" t="s">
        <v>37</v>
      </c>
      <c r="H28">
        <v>94350</v>
      </c>
      <c r="I28">
        <v>2</v>
      </c>
      <c r="J28">
        <v>4</v>
      </c>
      <c r="K28">
        <v>5</v>
      </c>
      <c r="L28" t="s">
        <v>27</v>
      </c>
      <c r="M28">
        <v>3</v>
      </c>
      <c r="N28" t="s">
        <v>27</v>
      </c>
      <c r="O28" s="2">
        <v>44530</v>
      </c>
    </row>
    <row r="29" spans="1:15" x14ac:dyDescent="0.35">
      <c r="A29" t="s">
        <v>66</v>
      </c>
      <c r="B29">
        <v>37</v>
      </c>
      <c r="C29" t="s">
        <v>29</v>
      </c>
      <c r="D29" t="s">
        <v>23</v>
      </c>
      <c r="E29" t="s">
        <v>42</v>
      </c>
      <c r="F29" t="s">
        <v>19</v>
      </c>
      <c r="G29" t="s">
        <v>20</v>
      </c>
      <c r="H29">
        <v>91385</v>
      </c>
      <c r="I29">
        <v>4</v>
      </c>
      <c r="J29">
        <v>2</v>
      </c>
      <c r="K29">
        <v>11</v>
      </c>
      <c r="L29" t="s">
        <v>27</v>
      </c>
      <c r="M29">
        <v>3</v>
      </c>
      <c r="N29" t="s">
        <v>21</v>
      </c>
      <c r="O29" s="2">
        <v>43455</v>
      </c>
    </row>
    <row r="30" spans="1:15" x14ac:dyDescent="0.35">
      <c r="A30" t="s">
        <v>67</v>
      </c>
      <c r="B30">
        <v>48</v>
      </c>
      <c r="C30" t="s">
        <v>16</v>
      </c>
      <c r="D30" t="s">
        <v>17</v>
      </c>
      <c r="E30" t="s">
        <v>46</v>
      </c>
      <c r="F30" t="s">
        <v>52</v>
      </c>
      <c r="G30" t="s">
        <v>37</v>
      </c>
      <c r="H30">
        <v>38866</v>
      </c>
      <c r="I30">
        <v>1</v>
      </c>
      <c r="J30">
        <v>4</v>
      </c>
      <c r="K30">
        <v>8</v>
      </c>
      <c r="L30" t="s">
        <v>27</v>
      </c>
      <c r="M30">
        <v>3</v>
      </c>
      <c r="N30" t="s">
        <v>21</v>
      </c>
      <c r="O30" s="2">
        <v>43827</v>
      </c>
    </row>
    <row r="31" spans="1:15" x14ac:dyDescent="0.35">
      <c r="A31" t="s">
        <v>68</v>
      </c>
      <c r="B31">
        <v>36</v>
      </c>
      <c r="C31" t="s">
        <v>29</v>
      </c>
      <c r="D31" t="s">
        <v>30</v>
      </c>
      <c r="E31" t="s">
        <v>57</v>
      </c>
      <c r="F31" t="s">
        <v>35</v>
      </c>
      <c r="G31" t="s">
        <v>26</v>
      </c>
      <c r="H31">
        <v>70227</v>
      </c>
      <c r="I31">
        <v>3</v>
      </c>
      <c r="J31">
        <v>3</v>
      </c>
      <c r="K31">
        <v>6</v>
      </c>
      <c r="L31" t="s">
        <v>27</v>
      </c>
      <c r="M31">
        <v>3</v>
      </c>
      <c r="N31" t="s">
        <v>21</v>
      </c>
      <c r="O31" s="2">
        <v>44291</v>
      </c>
    </row>
    <row r="32" spans="1:15" x14ac:dyDescent="0.35">
      <c r="A32" t="s">
        <v>69</v>
      </c>
      <c r="B32">
        <v>23</v>
      </c>
      <c r="C32" t="s">
        <v>29</v>
      </c>
      <c r="D32" t="s">
        <v>30</v>
      </c>
      <c r="E32" t="s">
        <v>31</v>
      </c>
      <c r="F32" t="s">
        <v>35</v>
      </c>
      <c r="G32" t="s">
        <v>37</v>
      </c>
      <c r="H32">
        <v>41405</v>
      </c>
      <c r="I32">
        <v>3</v>
      </c>
      <c r="J32">
        <v>1</v>
      </c>
      <c r="K32">
        <v>1</v>
      </c>
      <c r="L32" t="s">
        <v>27</v>
      </c>
      <c r="M32">
        <v>3</v>
      </c>
      <c r="N32" t="s">
        <v>21</v>
      </c>
      <c r="O32" s="2">
        <v>45564</v>
      </c>
    </row>
    <row r="33" spans="1:15" x14ac:dyDescent="0.35">
      <c r="A33" t="s">
        <v>70</v>
      </c>
      <c r="B33">
        <v>46</v>
      </c>
      <c r="C33" t="s">
        <v>16</v>
      </c>
      <c r="D33" t="s">
        <v>30</v>
      </c>
      <c r="E33" t="s">
        <v>34</v>
      </c>
      <c r="F33" t="s">
        <v>35</v>
      </c>
      <c r="G33" t="s">
        <v>37</v>
      </c>
      <c r="H33">
        <v>23817</v>
      </c>
      <c r="I33">
        <v>4</v>
      </c>
      <c r="J33">
        <v>1</v>
      </c>
      <c r="K33">
        <v>8</v>
      </c>
      <c r="L33" t="s">
        <v>27</v>
      </c>
      <c r="M33">
        <v>3</v>
      </c>
      <c r="N33" t="s">
        <v>21</v>
      </c>
      <c r="O33" s="2">
        <v>45538</v>
      </c>
    </row>
    <row r="34" spans="1:15" x14ac:dyDescent="0.35">
      <c r="A34" t="s">
        <v>71</v>
      </c>
      <c r="B34">
        <v>29</v>
      </c>
      <c r="C34" t="s">
        <v>16</v>
      </c>
      <c r="D34" t="s">
        <v>17</v>
      </c>
      <c r="E34" t="s">
        <v>46</v>
      </c>
      <c r="F34" t="s">
        <v>25</v>
      </c>
      <c r="G34" t="s">
        <v>37</v>
      </c>
      <c r="H34">
        <v>58538</v>
      </c>
      <c r="I34">
        <v>4</v>
      </c>
      <c r="J34">
        <v>3</v>
      </c>
      <c r="K34">
        <v>8</v>
      </c>
      <c r="L34" t="s">
        <v>21</v>
      </c>
      <c r="M34">
        <v>4</v>
      </c>
      <c r="N34" t="s">
        <v>21</v>
      </c>
      <c r="O34" s="2">
        <v>44427</v>
      </c>
    </row>
    <row r="35" spans="1:15" x14ac:dyDescent="0.35">
      <c r="A35" t="s">
        <v>72</v>
      </c>
      <c r="B35">
        <v>33</v>
      </c>
      <c r="C35" t="s">
        <v>29</v>
      </c>
      <c r="D35" t="s">
        <v>17</v>
      </c>
      <c r="E35" t="s">
        <v>46</v>
      </c>
      <c r="F35" t="s">
        <v>52</v>
      </c>
      <c r="G35" t="s">
        <v>37</v>
      </c>
      <c r="H35">
        <v>89819</v>
      </c>
      <c r="I35">
        <v>1</v>
      </c>
      <c r="J35">
        <v>3</v>
      </c>
      <c r="K35">
        <v>6</v>
      </c>
      <c r="L35" t="s">
        <v>21</v>
      </c>
      <c r="M35">
        <v>3</v>
      </c>
      <c r="N35" t="s">
        <v>21</v>
      </c>
      <c r="O35" s="2">
        <v>45526</v>
      </c>
    </row>
    <row r="36" spans="1:15" x14ac:dyDescent="0.35">
      <c r="A36" t="s">
        <v>73</v>
      </c>
      <c r="B36">
        <v>54</v>
      </c>
      <c r="C36" t="s">
        <v>16</v>
      </c>
      <c r="D36" t="s">
        <v>30</v>
      </c>
      <c r="E36" t="s">
        <v>57</v>
      </c>
      <c r="F36" t="s">
        <v>25</v>
      </c>
      <c r="G36" t="s">
        <v>26</v>
      </c>
      <c r="H36">
        <v>114463</v>
      </c>
      <c r="I36">
        <v>2</v>
      </c>
      <c r="J36">
        <v>1</v>
      </c>
      <c r="K36">
        <v>25</v>
      </c>
      <c r="L36" t="s">
        <v>21</v>
      </c>
      <c r="M36">
        <v>3</v>
      </c>
      <c r="N36" t="s">
        <v>21</v>
      </c>
      <c r="O36" s="2">
        <v>44750</v>
      </c>
    </row>
    <row r="37" spans="1:15" x14ac:dyDescent="0.35">
      <c r="A37" t="s">
        <v>74</v>
      </c>
      <c r="B37">
        <v>34</v>
      </c>
      <c r="C37" t="s">
        <v>16</v>
      </c>
      <c r="D37" t="s">
        <v>30</v>
      </c>
      <c r="E37" t="s">
        <v>57</v>
      </c>
      <c r="F37" t="s">
        <v>35</v>
      </c>
      <c r="G37" t="s">
        <v>26</v>
      </c>
      <c r="H37">
        <v>24057</v>
      </c>
      <c r="I37">
        <v>2</v>
      </c>
      <c r="J37">
        <v>4</v>
      </c>
      <c r="K37">
        <v>0</v>
      </c>
      <c r="L37" t="s">
        <v>27</v>
      </c>
      <c r="M37">
        <v>3</v>
      </c>
      <c r="N37" t="s">
        <v>21</v>
      </c>
      <c r="O37" s="2">
        <v>45400</v>
      </c>
    </row>
    <row r="38" spans="1:15" x14ac:dyDescent="0.35">
      <c r="A38" t="s">
        <v>75</v>
      </c>
      <c r="B38">
        <v>47</v>
      </c>
      <c r="C38" t="s">
        <v>29</v>
      </c>
      <c r="D38" t="s">
        <v>30</v>
      </c>
      <c r="E38" t="s">
        <v>40</v>
      </c>
      <c r="F38" t="s">
        <v>19</v>
      </c>
      <c r="G38" t="s">
        <v>26</v>
      </c>
      <c r="H38">
        <v>103990</v>
      </c>
      <c r="I38">
        <v>1</v>
      </c>
      <c r="J38">
        <v>1</v>
      </c>
      <c r="K38">
        <v>4</v>
      </c>
      <c r="L38" t="s">
        <v>27</v>
      </c>
      <c r="M38">
        <v>4</v>
      </c>
      <c r="N38" t="s">
        <v>27</v>
      </c>
      <c r="O38" s="2">
        <v>43445</v>
      </c>
    </row>
    <row r="39" spans="1:15" x14ac:dyDescent="0.35">
      <c r="A39" t="s">
        <v>76</v>
      </c>
      <c r="B39">
        <v>51</v>
      </c>
      <c r="C39" t="s">
        <v>16</v>
      </c>
      <c r="D39" t="s">
        <v>23</v>
      </c>
      <c r="E39" t="s">
        <v>24</v>
      </c>
      <c r="F39" t="s">
        <v>35</v>
      </c>
      <c r="G39" t="s">
        <v>37</v>
      </c>
      <c r="H39">
        <v>78901</v>
      </c>
      <c r="I39">
        <v>3</v>
      </c>
      <c r="J39">
        <v>4</v>
      </c>
      <c r="K39">
        <v>25</v>
      </c>
      <c r="L39" t="s">
        <v>27</v>
      </c>
      <c r="M39">
        <v>4</v>
      </c>
      <c r="N39" t="s">
        <v>21</v>
      </c>
      <c r="O39" s="2">
        <v>45657</v>
      </c>
    </row>
    <row r="40" spans="1:15" x14ac:dyDescent="0.35">
      <c r="A40" t="s">
        <v>77</v>
      </c>
      <c r="B40">
        <v>37</v>
      </c>
      <c r="C40" t="s">
        <v>16</v>
      </c>
      <c r="D40" t="s">
        <v>30</v>
      </c>
      <c r="E40" t="s">
        <v>31</v>
      </c>
      <c r="F40" t="s">
        <v>32</v>
      </c>
      <c r="G40" t="s">
        <v>37</v>
      </c>
      <c r="H40">
        <v>81517</v>
      </c>
      <c r="I40">
        <v>2</v>
      </c>
      <c r="J40">
        <v>3</v>
      </c>
      <c r="K40">
        <v>16</v>
      </c>
      <c r="L40" t="s">
        <v>21</v>
      </c>
      <c r="M40">
        <v>4</v>
      </c>
      <c r="N40" t="s">
        <v>27</v>
      </c>
      <c r="O40" s="2">
        <v>44345</v>
      </c>
    </row>
    <row r="41" spans="1:15" x14ac:dyDescent="0.35">
      <c r="A41" t="s">
        <v>78</v>
      </c>
      <c r="B41">
        <v>30</v>
      </c>
      <c r="C41" t="s">
        <v>29</v>
      </c>
      <c r="D41" t="s">
        <v>30</v>
      </c>
      <c r="E41" t="s">
        <v>34</v>
      </c>
      <c r="F41" t="s">
        <v>17</v>
      </c>
      <c r="G41" t="s">
        <v>37</v>
      </c>
      <c r="H41">
        <v>68205</v>
      </c>
      <c r="I41">
        <v>2</v>
      </c>
      <c r="J41">
        <v>2</v>
      </c>
      <c r="K41">
        <v>3</v>
      </c>
      <c r="L41" t="s">
        <v>27</v>
      </c>
      <c r="M41">
        <v>3</v>
      </c>
      <c r="N41" t="s">
        <v>21</v>
      </c>
      <c r="O41" s="2">
        <v>45344</v>
      </c>
    </row>
    <row r="42" spans="1:15" x14ac:dyDescent="0.35">
      <c r="A42" t="s">
        <v>79</v>
      </c>
      <c r="B42">
        <v>35</v>
      </c>
      <c r="C42" t="s">
        <v>29</v>
      </c>
      <c r="D42" t="s">
        <v>30</v>
      </c>
      <c r="E42" t="s">
        <v>34</v>
      </c>
      <c r="F42" t="s">
        <v>52</v>
      </c>
      <c r="G42" t="s">
        <v>37</v>
      </c>
      <c r="H42">
        <v>118898</v>
      </c>
      <c r="I42">
        <v>1</v>
      </c>
      <c r="J42">
        <v>4</v>
      </c>
      <c r="K42">
        <v>6</v>
      </c>
      <c r="L42" t="s">
        <v>21</v>
      </c>
      <c r="M42">
        <v>4</v>
      </c>
      <c r="N42" t="s">
        <v>27</v>
      </c>
      <c r="O42" s="2">
        <v>44886</v>
      </c>
    </row>
    <row r="43" spans="1:15" x14ac:dyDescent="0.35">
      <c r="A43" t="s">
        <v>80</v>
      </c>
      <c r="B43">
        <v>53</v>
      </c>
      <c r="C43" t="s">
        <v>16</v>
      </c>
      <c r="D43" t="s">
        <v>17</v>
      </c>
      <c r="E43" t="s">
        <v>18</v>
      </c>
      <c r="F43" t="s">
        <v>52</v>
      </c>
      <c r="G43" t="s">
        <v>20</v>
      </c>
      <c r="H43">
        <v>75125</v>
      </c>
      <c r="I43">
        <v>4</v>
      </c>
      <c r="J43">
        <v>1</v>
      </c>
      <c r="K43">
        <v>8</v>
      </c>
      <c r="L43" t="s">
        <v>27</v>
      </c>
      <c r="M43">
        <v>4</v>
      </c>
      <c r="N43" t="s">
        <v>21</v>
      </c>
      <c r="O43" s="2">
        <v>45317</v>
      </c>
    </row>
    <row r="44" spans="1:15" x14ac:dyDescent="0.35">
      <c r="A44" t="s">
        <v>81</v>
      </c>
      <c r="B44">
        <v>47</v>
      </c>
      <c r="C44" t="s">
        <v>29</v>
      </c>
      <c r="D44" t="s">
        <v>17</v>
      </c>
      <c r="E44" t="s">
        <v>18</v>
      </c>
      <c r="F44" t="s">
        <v>52</v>
      </c>
      <c r="G44" t="s">
        <v>37</v>
      </c>
      <c r="H44">
        <v>102246</v>
      </c>
      <c r="I44">
        <v>4</v>
      </c>
      <c r="J44">
        <v>2</v>
      </c>
      <c r="K44">
        <v>2</v>
      </c>
      <c r="L44" t="s">
        <v>27</v>
      </c>
      <c r="M44">
        <v>4</v>
      </c>
      <c r="N44" t="s">
        <v>27</v>
      </c>
      <c r="O44" s="2">
        <v>42416</v>
      </c>
    </row>
    <row r="45" spans="1:15" x14ac:dyDescent="0.35">
      <c r="A45" t="s">
        <v>82</v>
      </c>
      <c r="B45">
        <v>42</v>
      </c>
      <c r="C45" t="s">
        <v>16</v>
      </c>
      <c r="D45" t="s">
        <v>23</v>
      </c>
      <c r="E45" t="s">
        <v>55</v>
      </c>
      <c r="F45" t="s">
        <v>32</v>
      </c>
      <c r="G45" t="s">
        <v>20</v>
      </c>
      <c r="H45">
        <v>54471</v>
      </c>
      <c r="I45">
        <v>4</v>
      </c>
      <c r="J45">
        <v>3</v>
      </c>
      <c r="K45">
        <v>12</v>
      </c>
      <c r="L45" t="s">
        <v>21</v>
      </c>
      <c r="M45">
        <v>3</v>
      </c>
      <c r="N45" t="s">
        <v>21</v>
      </c>
      <c r="O45" s="2">
        <v>42163</v>
      </c>
    </row>
    <row r="46" spans="1:15" x14ac:dyDescent="0.35">
      <c r="A46" t="s">
        <v>83</v>
      </c>
      <c r="B46">
        <v>24</v>
      </c>
      <c r="C46" t="s">
        <v>16</v>
      </c>
      <c r="D46" t="s">
        <v>17</v>
      </c>
      <c r="E46" t="s">
        <v>18</v>
      </c>
      <c r="F46" t="s">
        <v>17</v>
      </c>
      <c r="G46" t="s">
        <v>20</v>
      </c>
      <c r="H46">
        <v>44130</v>
      </c>
      <c r="I46">
        <v>1</v>
      </c>
      <c r="J46">
        <v>2</v>
      </c>
      <c r="K46">
        <v>1</v>
      </c>
      <c r="L46" t="s">
        <v>27</v>
      </c>
      <c r="M46">
        <v>3</v>
      </c>
      <c r="N46" t="s">
        <v>27</v>
      </c>
      <c r="O46" s="2">
        <v>45884</v>
      </c>
    </row>
    <row r="47" spans="1:15" x14ac:dyDescent="0.35">
      <c r="A47" t="s">
        <v>84</v>
      </c>
      <c r="B47">
        <v>45</v>
      </c>
      <c r="C47" t="s">
        <v>29</v>
      </c>
      <c r="D47" t="s">
        <v>30</v>
      </c>
      <c r="E47" t="s">
        <v>31</v>
      </c>
      <c r="F47" t="s">
        <v>17</v>
      </c>
      <c r="G47" t="s">
        <v>26</v>
      </c>
      <c r="H47">
        <v>97593</v>
      </c>
      <c r="I47">
        <v>1</v>
      </c>
      <c r="J47">
        <v>2</v>
      </c>
      <c r="K47">
        <v>19</v>
      </c>
      <c r="L47" t="s">
        <v>27</v>
      </c>
      <c r="M47">
        <v>3</v>
      </c>
      <c r="N47" t="s">
        <v>27</v>
      </c>
      <c r="O47" s="2">
        <v>42215</v>
      </c>
    </row>
    <row r="48" spans="1:15" x14ac:dyDescent="0.35">
      <c r="A48" t="s">
        <v>85</v>
      </c>
      <c r="B48">
        <v>34</v>
      </c>
      <c r="C48" t="s">
        <v>16</v>
      </c>
      <c r="D48" t="s">
        <v>30</v>
      </c>
      <c r="E48" t="s">
        <v>40</v>
      </c>
      <c r="F48" t="s">
        <v>32</v>
      </c>
      <c r="G48" t="s">
        <v>26</v>
      </c>
      <c r="H48">
        <v>108520</v>
      </c>
      <c r="I48">
        <v>2</v>
      </c>
      <c r="J48">
        <v>1</v>
      </c>
      <c r="K48">
        <v>9</v>
      </c>
      <c r="L48" t="s">
        <v>27</v>
      </c>
      <c r="M48">
        <v>3</v>
      </c>
      <c r="N48" t="s">
        <v>21</v>
      </c>
      <c r="O48" s="2">
        <v>42996</v>
      </c>
    </row>
    <row r="49" spans="1:15" x14ac:dyDescent="0.35">
      <c r="A49" t="s">
        <v>86</v>
      </c>
      <c r="B49">
        <v>26</v>
      </c>
      <c r="C49" t="s">
        <v>16</v>
      </c>
      <c r="D49" t="s">
        <v>30</v>
      </c>
      <c r="E49" t="s">
        <v>31</v>
      </c>
      <c r="F49" t="s">
        <v>52</v>
      </c>
      <c r="G49" t="s">
        <v>20</v>
      </c>
      <c r="H49">
        <v>73057</v>
      </c>
      <c r="I49">
        <v>4</v>
      </c>
      <c r="J49">
        <v>1</v>
      </c>
      <c r="K49">
        <v>0</v>
      </c>
      <c r="L49" t="s">
        <v>21</v>
      </c>
      <c r="M49">
        <v>4</v>
      </c>
      <c r="N49" t="s">
        <v>21</v>
      </c>
      <c r="O49" s="2">
        <v>45771</v>
      </c>
    </row>
    <row r="50" spans="1:15" x14ac:dyDescent="0.35">
      <c r="A50" t="s">
        <v>87</v>
      </c>
      <c r="B50">
        <v>56</v>
      </c>
      <c r="C50" t="s">
        <v>29</v>
      </c>
      <c r="D50" t="s">
        <v>17</v>
      </c>
      <c r="E50" t="s">
        <v>46</v>
      </c>
      <c r="F50" t="s">
        <v>25</v>
      </c>
      <c r="G50" t="s">
        <v>37</v>
      </c>
      <c r="H50">
        <v>75091</v>
      </c>
      <c r="I50">
        <v>3</v>
      </c>
      <c r="J50">
        <v>3</v>
      </c>
      <c r="K50">
        <v>14</v>
      </c>
      <c r="L50" t="s">
        <v>21</v>
      </c>
      <c r="M50">
        <v>3</v>
      </c>
      <c r="N50" t="s">
        <v>21</v>
      </c>
      <c r="O50" s="2">
        <v>44289</v>
      </c>
    </row>
    <row r="51" spans="1:15" x14ac:dyDescent="0.35">
      <c r="A51" t="s">
        <v>88</v>
      </c>
      <c r="B51">
        <v>43</v>
      </c>
      <c r="C51" t="s">
        <v>29</v>
      </c>
      <c r="D51" t="s">
        <v>17</v>
      </c>
      <c r="E51" t="s">
        <v>46</v>
      </c>
      <c r="F51" t="s">
        <v>32</v>
      </c>
      <c r="G51" t="s">
        <v>26</v>
      </c>
      <c r="H51">
        <v>60600</v>
      </c>
      <c r="I51">
        <v>2</v>
      </c>
      <c r="J51">
        <v>4</v>
      </c>
      <c r="K51">
        <v>15</v>
      </c>
      <c r="L51" t="s">
        <v>27</v>
      </c>
      <c r="M51">
        <v>3</v>
      </c>
      <c r="N51" t="s">
        <v>21</v>
      </c>
      <c r="O51" s="2">
        <v>44121</v>
      </c>
    </row>
    <row r="52" spans="1:15" x14ac:dyDescent="0.35">
      <c r="A52" t="s">
        <v>89</v>
      </c>
      <c r="B52">
        <v>57</v>
      </c>
      <c r="C52" t="s">
        <v>29</v>
      </c>
      <c r="D52" t="s">
        <v>17</v>
      </c>
      <c r="E52" t="s">
        <v>46</v>
      </c>
      <c r="F52" t="s">
        <v>35</v>
      </c>
      <c r="G52" t="s">
        <v>26</v>
      </c>
      <c r="H52">
        <v>43042</v>
      </c>
      <c r="I52">
        <v>1</v>
      </c>
      <c r="J52">
        <v>2</v>
      </c>
      <c r="K52">
        <v>16</v>
      </c>
      <c r="L52" t="s">
        <v>27</v>
      </c>
      <c r="M52">
        <v>4</v>
      </c>
      <c r="N52" t="s">
        <v>21</v>
      </c>
      <c r="O52" s="2">
        <v>43973</v>
      </c>
    </row>
    <row r="53" spans="1:15" x14ac:dyDescent="0.35">
      <c r="A53" t="s">
        <v>90</v>
      </c>
      <c r="B53">
        <v>23</v>
      </c>
      <c r="C53" t="s">
        <v>29</v>
      </c>
      <c r="D53" t="s">
        <v>30</v>
      </c>
      <c r="E53" t="s">
        <v>40</v>
      </c>
      <c r="F53" t="s">
        <v>17</v>
      </c>
      <c r="G53" t="s">
        <v>26</v>
      </c>
      <c r="H53">
        <v>47045</v>
      </c>
      <c r="I53">
        <v>4</v>
      </c>
      <c r="J53">
        <v>2</v>
      </c>
      <c r="K53">
        <v>1</v>
      </c>
      <c r="L53" t="s">
        <v>27</v>
      </c>
      <c r="M53">
        <v>3</v>
      </c>
      <c r="N53" t="s">
        <v>21</v>
      </c>
      <c r="O53" s="2">
        <v>45028</v>
      </c>
    </row>
    <row r="54" spans="1:15" x14ac:dyDescent="0.35">
      <c r="A54" t="s">
        <v>91</v>
      </c>
      <c r="B54">
        <v>57</v>
      </c>
      <c r="C54" t="s">
        <v>16</v>
      </c>
      <c r="D54" t="s">
        <v>30</v>
      </c>
      <c r="E54" t="s">
        <v>40</v>
      </c>
      <c r="F54" t="s">
        <v>35</v>
      </c>
      <c r="G54" t="s">
        <v>20</v>
      </c>
      <c r="H54">
        <v>110124</v>
      </c>
      <c r="I54">
        <v>4</v>
      </c>
      <c r="J54">
        <v>3</v>
      </c>
      <c r="K54">
        <v>11</v>
      </c>
      <c r="L54" t="s">
        <v>21</v>
      </c>
      <c r="M54">
        <v>3</v>
      </c>
      <c r="N54" t="s">
        <v>21</v>
      </c>
      <c r="O54" s="2">
        <v>43893</v>
      </c>
    </row>
    <row r="55" spans="1:15" x14ac:dyDescent="0.35">
      <c r="A55" t="s">
        <v>92</v>
      </c>
      <c r="B55">
        <v>56</v>
      </c>
      <c r="C55" t="s">
        <v>29</v>
      </c>
      <c r="D55" t="s">
        <v>30</v>
      </c>
      <c r="E55" t="s">
        <v>34</v>
      </c>
      <c r="F55" t="s">
        <v>25</v>
      </c>
      <c r="G55" t="s">
        <v>37</v>
      </c>
      <c r="H55">
        <v>46361</v>
      </c>
      <c r="I55">
        <v>4</v>
      </c>
      <c r="J55">
        <v>3</v>
      </c>
      <c r="K55">
        <v>6</v>
      </c>
      <c r="L55" t="s">
        <v>27</v>
      </c>
      <c r="M55">
        <v>3</v>
      </c>
      <c r="N55" t="s">
        <v>27</v>
      </c>
      <c r="O55" s="2">
        <v>43595</v>
      </c>
    </row>
    <row r="56" spans="1:15" x14ac:dyDescent="0.35">
      <c r="A56" t="s">
        <v>93</v>
      </c>
      <c r="B56">
        <v>22</v>
      </c>
      <c r="C56" t="s">
        <v>16</v>
      </c>
      <c r="D56" t="s">
        <v>23</v>
      </c>
      <c r="E56" t="s">
        <v>55</v>
      </c>
      <c r="F56" t="s">
        <v>19</v>
      </c>
      <c r="G56" t="s">
        <v>26</v>
      </c>
      <c r="H56">
        <v>23965</v>
      </c>
      <c r="I56">
        <v>1</v>
      </c>
      <c r="J56">
        <v>3</v>
      </c>
      <c r="K56">
        <v>1</v>
      </c>
      <c r="L56" t="s">
        <v>27</v>
      </c>
      <c r="M56">
        <v>3</v>
      </c>
      <c r="N56" t="s">
        <v>21</v>
      </c>
      <c r="O56" s="2">
        <v>46026</v>
      </c>
    </row>
    <row r="57" spans="1:15" x14ac:dyDescent="0.35">
      <c r="A57" t="s">
        <v>94</v>
      </c>
      <c r="B57">
        <v>52</v>
      </c>
      <c r="C57" t="s">
        <v>29</v>
      </c>
      <c r="D57" t="s">
        <v>30</v>
      </c>
      <c r="E57" t="s">
        <v>40</v>
      </c>
      <c r="F57" t="s">
        <v>52</v>
      </c>
      <c r="G57" t="s">
        <v>20</v>
      </c>
      <c r="H57">
        <v>42164</v>
      </c>
      <c r="I57">
        <v>1</v>
      </c>
      <c r="J57">
        <v>3</v>
      </c>
      <c r="K57">
        <v>10</v>
      </c>
      <c r="L57" t="s">
        <v>21</v>
      </c>
      <c r="M57">
        <v>4</v>
      </c>
      <c r="N57" t="s">
        <v>27</v>
      </c>
      <c r="O57" s="2">
        <v>42540</v>
      </c>
    </row>
    <row r="58" spans="1:15" x14ac:dyDescent="0.35">
      <c r="A58" t="s">
        <v>95</v>
      </c>
      <c r="B58">
        <v>31</v>
      </c>
      <c r="C58" t="s">
        <v>16</v>
      </c>
      <c r="D58" t="s">
        <v>17</v>
      </c>
      <c r="E58" t="s">
        <v>18</v>
      </c>
      <c r="F58" t="s">
        <v>17</v>
      </c>
      <c r="G58" t="s">
        <v>37</v>
      </c>
      <c r="H58">
        <v>57824</v>
      </c>
      <c r="I58">
        <v>1</v>
      </c>
      <c r="J58">
        <v>2</v>
      </c>
      <c r="K58">
        <v>9</v>
      </c>
      <c r="L58" t="s">
        <v>27</v>
      </c>
      <c r="M58">
        <v>3</v>
      </c>
      <c r="N58" t="s">
        <v>21</v>
      </c>
      <c r="O58" s="2">
        <v>45414</v>
      </c>
    </row>
    <row r="59" spans="1:15" x14ac:dyDescent="0.35">
      <c r="A59" t="s">
        <v>96</v>
      </c>
      <c r="B59">
        <v>41</v>
      </c>
      <c r="C59" t="s">
        <v>29</v>
      </c>
      <c r="D59" t="s">
        <v>30</v>
      </c>
      <c r="E59" t="s">
        <v>40</v>
      </c>
      <c r="F59" t="s">
        <v>35</v>
      </c>
      <c r="G59" t="s">
        <v>20</v>
      </c>
      <c r="H59">
        <v>92531</v>
      </c>
      <c r="I59">
        <v>1</v>
      </c>
      <c r="J59">
        <v>1</v>
      </c>
      <c r="K59">
        <v>9</v>
      </c>
      <c r="L59" t="s">
        <v>21</v>
      </c>
      <c r="M59">
        <v>3</v>
      </c>
      <c r="N59" t="s">
        <v>21</v>
      </c>
      <c r="O59" s="2">
        <v>43733</v>
      </c>
    </row>
    <row r="60" spans="1:15" x14ac:dyDescent="0.35">
      <c r="A60" t="s">
        <v>97</v>
      </c>
      <c r="B60">
        <v>33</v>
      </c>
      <c r="C60" t="s">
        <v>16</v>
      </c>
      <c r="D60" t="s">
        <v>23</v>
      </c>
      <c r="E60" t="s">
        <v>24</v>
      </c>
      <c r="F60" t="s">
        <v>32</v>
      </c>
      <c r="G60" t="s">
        <v>26</v>
      </c>
      <c r="H60">
        <v>18350</v>
      </c>
      <c r="I60">
        <v>4</v>
      </c>
      <c r="J60">
        <v>4</v>
      </c>
      <c r="K60">
        <v>2</v>
      </c>
      <c r="L60" t="s">
        <v>27</v>
      </c>
      <c r="M60">
        <v>4</v>
      </c>
      <c r="N60" t="s">
        <v>21</v>
      </c>
      <c r="O60" s="2">
        <v>42272</v>
      </c>
    </row>
    <row r="61" spans="1:15" x14ac:dyDescent="0.35">
      <c r="A61" t="s">
        <v>98</v>
      </c>
      <c r="B61">
        <v>26</v>
      </c>
      <c r="C61" t="s">
        <v>16</v>
      </c>
      <c r="D61" t="s">
        <v>30</v>
      </c>
      <c r="E61" t="s">
        <v>40</v>
      </c>
      <c r="F61" t="s">
        <v>32</v>
      </c>
      <c r="G61" t="s">
        <v>20</v>
      </c>
      <c r="H61">
        <v>99927</v>
      </c>
      <c r="I61">
        <v>2</v>
      </c>
      <c r="J61">
        <v>4</v>
      </c>
      <c r="K61">
        <v>2</v>
      </c>
      <c r="L61" t="s">
        <v>27</v>
      </c>
      <c r="M61">
        <v>3</v>
      </c>
      <c r="N61" t="s">
        <v>21</v>
      </c>
      <c r="O61" s="2">
        <v>43846</v>
      </c>
    </row>
    <row r="62" spans="1:15" x14ac:dyDescent="0.35">
      <c r="A62" t="s">
        <v>99</v>
      </c>
      <c r="B62">
        <v>32</v>
      </c>
      <c r="C62" t="s">
        <v>29</v>
      </c>
      <c r="D62" t="s">
        <v>23</v>
      </c>
      <c r="E62" t="s">
        <v>24</v>
      </c>
      <c r="F62" t="s">
        <v>32</v>
      </c>
      <c r="G62" t="s">
        <v>26</v>
      </c>
      <c r="H62">
        <v>116167</v>
      </c>
      <c r="I62">
        <v>3</v>
      </c>
      <c r="J62">
        <v>4</v>
      </c>
      <c r="K62">
        <v>9</v>
      </c>
      <c r="L62" t="s">
        <v>21</v>
      </c>
      <c r="M62">
        <v>3</v>
      </c>
      <c r="N62" t="s">
        <v>21</v>
      </c>
      <c r="O62" s="2">
        <v>44496</v>
      </c>
    </row>
    <row r="63" spans="1:15" x14ac:dyDescent="0.35">
      <c r="A63" t="s">
        <v>100</v>
      </c>
      <c r="B63">
        <v>50</v>
      </c>
      <c r="C63" t="s">
        <v>16</v>
      </c>
      <c r="D63" t="s">
        <v>17</v>
      </c>
      <c r="E63" t="s">
        <v>46</v>
      </c>
      <c r="F63" t="s">
        <v>35</v>
      </c>
      <c r="G63" t="s">
        <v>26</v>
      </c>
      <c r="H63">
        <v>23224</v>
      </c>
      <c r="I63">
        <v>4</v>
      </c>
      <c r="J63">
        <v>3</v>
      </c>
      <c r="K63">
        <v>19</v>
      </c>
      <c r="L63" t="s">
        <v>27</v>
      </c>
      <c r="M63">
        <v>3</v>
      </c>
      <c r="N63" t="s">
        <v>27</v>
      </c>
      <c r="O63" s="2">
        <v>42753</v>
      </c>
    </row>
    <row r="64" spans="1:15" x14ac:dyDescent="0.35">
      <c r="A64" t="s">
        <v>101</v>
      </c>
      <c r="B64">
        <v>39</v>
      </c>
      <c r="C64" t="s">
        <v>29</v>
      </c>
      <c r="D64" t="s">
        <v>17</v>
      </c>
      <c r="E64" t="s">
        <v>18</v>
      </c>
      <c r="F64" t="s">
        <v>19</v>
      </c>
      <c r="G64" t="s">
        <v>37</v>
      </c>
      <c r="H64">
        <v>79669</v>
      </c>
      <c r="I64">
        <v>4</v>
      </c>
      <c r="J64">
        <v>3</v>
      </c>
      <c r="K64">
        <v>5</v>
      </c>
      <c r="L64" t="s">
        <v>27</v>
      </c>
      <c r="M64">
        <v>3</v>
      </c>
      <c r="N64" t="s">
        <v>21</v>
      </c>
      <c r="O64" s="2">
        <v>45575</v>
      </c>
    </row>
    <row r="65" spans="1:15" x14ac:dyDescent="0.35">
      <c r="A65" t="s">
        <v>102</v>
      </c>
      <c r="B65">
        <v>43</v>
      </c>
      <c r="C65" t="s">
        <v>29</v>
      </c>
      <c r="D65" t="s">
        <v>30</v>
      </c>
      <c r="E65" t="s">
        <v>40</v>
      </c>
      <c r="F65" t="s">
        <v>35</v>
      </c>
      <c r="G65" t="s">
        <v>37</v>
      </c>
      <c r="H65">
        <v>31710</v>
      </c>
      <c r="I65">
        <v>2</v>
      </c>
      <c r="J65">
        <v>3</v>
      </c>
      <c r="K65">
        <v>21</v>
      </c>
      <c r="L65" t="s">
        <v>21</v>
      </c>
      <c r="M65">
        <v>4</v>
      </c>
      <c r="N65" t="s">
        <v>21</v>
      </c>
      <c r="O65" s="2">
        <v>46063</v>
      </c>
    </row>
    <row r="66" spans="1:15" x14ac:dyDescent="0.35">
      <c r="A66" t="s">
        <v>103</v>
      </c>
      <c r="B66">
        <v>51</v>
      </c>
      <c r="C66" t="s">
        <v>29</v>
      </c>
      <c r="D66" t="s">
        <v>17</v>
      </c>
      <c r="E66" t="s">
        <v>18</v>
      </c>
      <c r="F66" t="s">
        <v>52</v>
      </c>
      <c r="G66" t="s">
        <v>20</v>
      </c>
      <c r="H66">
        <v>51082</v>
      </c>
      <c r="I66">
        <v>3</v>
      </c>
      <c r="J66">
        <v>1</v>
      </c>
      <c r="K66">
        <v>10</v>
      </c>
      <c r="L66" t="s">
        <v>27</v>
      </c>
      <c r="M66">
        <v>4</v>
      </c>
      <c r="N66" t="s">
        <v>21</v>
      </c>
      <c r="O66" s="2">
        <v>42014</v>
      </c>
    </row>
    <row r="67" spans="1:15" x14ac:dyDescent="0.35">
      <c r="A67" t="s">
        <v>104</v>
      </c>
      <c r="B67">
        <v>45</v>
      </c>
      <c r="C67" t="s">
        <v>29</v>
      </c>
      <c r="D67" t="s">
        <v>23</v>
      </c>
      <c r="E67" t="s">
        <v>42</v>
      </c>
      <c r="F67" t="s">
        <v>52</v>
      </c>
      <c r="G67" t="s">
        <v>26</v>
      </c>
      <c r="H67">
        <v>75939</v>
      </c>
      <c r="I67">
        <v>1</v>
      </c>
      <c r="J67">
        <v>2</v>
      </c>
      <c r="K67">
        <v>20</v>
      </c>
      <c r="L67" t="s">
        <v>21</v>
      </c>
      <c r="M67">
        <v>3</v>
      </c>
      <c r="N67" t="s">
        <v>21</v>
      </c>
      <c r="O67" s="2">
        <v>43078</v>
      </c>
    </row>
    <row r="68" spans="1:15" x14ac:dyDescent="0.35">
      <c r="A68" t="s">
        <v>105</v>
      </c>
      <c r="B68">
        <v>23</v>
      </c>
      <c r="C68" t="s">
        <v>16</v>
      </c>
      <c r="D68" t="s">
        <v>30</v>
      </c>
      <c r="E68" t="s">
        <v>34</v>
      </c>
      <c r="F68" t="s">
        <v>52</v>
      </c>
      <c r="G68" t="s">
        <v>20</v>
      </c>
      <c r="H68">
        <v>38758</v>
      </c>
      <c r="I68">
        <v>3</v>
      </c>
      <c r="J68">
        <v>1</v>
      </c>
      <c r="K68">
        <v>2</v>
      </c>
      <c r="L68" t="s">
        <v>27</v>
      </c>
      <c r="M68">
        <v>4</v>
      </c>
      <c r="N68" t="s">
        <v>27</v>
      </c>
      <c r="O68" s="2">
        <v>43845</v>
      </c>
    </row>
    <row r="69" spans="1:15" x14ac:dyDescent="0.35">
      <c r="A69" t="s">
        <v>106</v>
      </c>
      <c r="B69">
        <v>53</v>
      </c>
      <c r="C69" t="s">
        <v>29</v>
      </c>
      <c r="D69" t="s">
        <v>17</v>
      </c>
      <c r="E69" t="s">
        <v>18</v>
      </c>
      <c r="F69" t="s">
        <v>17</v>
      </c>
      <c r="G69" t="s">
        <v>20</v>
      </c>
      <c r="H69">
        <v>110459</v>
      </c>
      <c r="I69">
        <v>3</v>
      </c>
      <c r="J69">
        <v>4</v>
      </c>
      <c r="K69">
        <v>16</v>
      </c>
      <c r="L69" t="s">
        <v>21</v>
      </c>
      <c r="M69">
        <v>4</v>
      </c>
      <c r="N69" t="s">
        <v>21</v>
      </c>
      <c r="O69" s="2">
        <v>44001</v>
      </c>
    </row>
    <row r="70" spans="1:15" x14ac:dyDescent="0.35">
      <c r="A70" t="s">
        <v>107</v>
      </c>
      <c r="B70">
        <v>54</v>
      </c>
      <c r="C70" t="s">
        <v>29</v>
      </c>
      <c r="D70" t="s">
        <v>30</v>
      </c>
      <c r="E70" t="s">
        <v>57</v>
      </c>
      <c r="F70" t="s">
        <v>17</v>
      </c>
      <c r="G70" t="s">
        <v>26</v>
      </c>
      <c r="H70">
        <v>54208</v>
      </c>
      <c r="I70">
        <v>4</v>
      </c>
      <c r="J70">
        <v>3</v>
      </c>
      <c r="K70">
        <v>2</v>
      </c>
      <c r="L70" t="s">
        <v>27</v>
      </c>
      <c r="M70">
        <v>3</v>
      </c>
      <c r="N70" t="s">
        <v>27</v>
      </c>
      <c r="O70" s="2">
        <v>44322</v>
      </c>
    </row>
    <row r="71" spans="1:15" x14ac:dyDescent="0.35">
      <c r="A71" t="s">
        <v>108</v>
      </c>
      <c r="B71">
        <v>31</v>
      </c>
      <c r="C71" t="s">
        <v>16</v>
      </c>
      <c r="D71" t="s">
        <v>17</v>
      </c>
      <c r="E71" t="s">
        <v>46</v>
      </c>
      <c r="F71" t="s">
        <v>35</v>
      </c>
      <c r="G71" t="s">
        <v>20</v>
      </c>
      <c r="H71">
        <v>81483</v>
      </c>
      <c r="I71">
        <v>3</v>
      </c>
      <c r="J71">
        <v>3</v>
      </c>
      <c r="K71">
        <v>8</v>
      </c>
      <c r="L71" t="s">
        <v>21</v>
      </c>
      <c r="M71">
        <v>4</v>
      </c>
      <c r="N71" t="s">
        <v>21</v>
      </c>
      <c r="O71" s="2">
        <v>44641</v>
      </c>
    </row>
    <row r="72" spans="1:15" x14ac:dyDescent="0.35">
      <c r="A72" t="s">
        <v>109</v>
      </c>
      <c r="B72">
        <v>36</v>
      </c>
      <c r="C72" t="s">
        <v>29</v>
      </c>
      <c r="D72" t="s">
        <v>17</v>
      </c>
      <c r="E72" t="s">
        <v>46</v>
      </c>
      <c r="F72" t="s">
        <v>19</v>
      </c>
      <c r="G72" t="s">
        <v>20</v>
      </c>
      <c r="H72">
        <v>59704</v>
      </c>
      <c r="I72">
        <v>4</v>
      </c>
      <c r="J72">
        <v>4</v>
      </c>
      <c r="K72">
        <v>1</v>
      </c>
      <c r="L72" t="s">
        <v>21</v>
      </c>
      <c r="M72">
        <v>4</v>
      </c>
      <c r="N72" t="s">
        <v>21</v>
      </c>
      <c r="O72" s="2">
        <v>43251</v>
      </c>
    </row>
    <row r="73" spans="1:15" x14ac:dyDescent="0.35">
      <c r="A73" t="s">
        <v>110</v>
      </c>
      <c r="B73">
        <v>28</v>
      </c>
      <c r="C73" t="s">
        <v>16</v>
      </c>
      <c r="D73" t="s">
        <v>17</v>
      </c>
      <c r="E73" t="s">
        <v>46</v>
      </c>
      <c r="F73" t="s">
        <v>52</v>
      </c>
      <c r="G73" t="s">
        <v>37</v>
      </c>
      <c r="H73">
        <v>86937</v>
      </c>
      <c r="I73">
        <v>4</v>
      </c>
      <c r="J73">
        <v>1</v>
      </c>
      <c r="K73">
        <v>1</v>
      </c>
      <c r="L73" t="s">
        <v>21</v>
      </c>
      <c r="M73">
        <v>3</v>
      </c>
      <c r="N73" t="s">
        <v>21</v>
      </c>
      <c r="O73" s="2">
        <v>43269</v>
      </c>
    </row>
    <row r="74" spans="1:15" x14ac:dyDescent="0.35">
      <c r="A74" t="s">
        <v>111</v>
      </c>
      <c r="B74">
        <v>27</v>
      </c>
      <c r="C74" t="s">
        <v>16</v>
      </c>
      <c r="D74" t="s">
        <v>30</v>
      </c>
      <c r="E74" t="s">
        <v>40</v>
      </c>
      <c r="F74" t="s">
        <v>25</v>
      </c>
      <c r="G74" t="s">
        <v>26</v>
      </c>
      <c r="H74">
        <v>106389</v>
      </c>
      <c r="I74">
        <v>4</v>
      </c>
      <c r="J74">
        <v>3</v>
      </c>
      <c r="K74">
        <v>6</v>
      </c>
      <c r="L74" t="s">
        <v>21</v>
      </c>
      <c r="M74">
        <v>4</v>
      </c>
      <c r="N74" t="s">
        <v>21</v>
      </c>
      <c r="O74" s="2">
        <v>42299</v>
      </c>
    </row>
    <row r="75" spans="1:15" x14ac:dyDescent="0.35">
      <c r="A75" t="s">
        <v>112</v>
      </c>
      <c r="B75">
        <v>36</v>
      </c>
      <c r="C75" t="s">
        <v>16</v>
      </c>
      <c r="D75" t="s">
        <v>17</v>
      </c>
      <c r="E75" t="s">
        <v>46</v>
      </c>
      <c r="F75" t="s">
        <v>19</v>
      </c>
      <c r="G75" t="s">
        <v>37</v>
      </c>
      <c r="H75">
        <v>30903</v>
      </c>
      <c r="I75">
        <v>1</v>
      </c>
      <c r="J75">
        <v>4</v>
      </c>
      <c r="K75">
        <v>13</v>
      </c>
      <c r="L75" t="s">
        <v>27</v>
      </c>
      <c r="M75">
        <v>3</v>
      </c>
      <c r="N75" t="s">
        <v>21</v>
      </c>
      <c r="O75" s="2">
        <v>44458</v>
      </c>
    </row>
    <row r="76" spans="1:15" x14ac:dyDescent="0.35">
      <c r="A76" t="s">
        <v>113</v>
      </c>
      <c r="B76">
        <v>44</v>
      </c>
      <c r="C76" t="s">
        <v>16</v>
      </c>
      <c r="D76" t="s">
        <v>23</v>
      </c>
      <c r="E76" t="s">
        <v>55</v>
      </c>
      <c r="F76" t="s">
        <v>17</v>
      </c>
      <c r="G76" t="s">
        <v>37</v>
      </c>
      <c r="H76">
        <v>37080</v>
      </c>
      <c r="I76">
        <v>2</v>
      </c>
      <c r="J76">
        <v>4</v>
      </c>
      <c r="K76">
        <v>13</v>
      </c>
      <c r="L76" t="s">
        <v>21</v>
      </c>
      <c r="M76">
        <v>3</v>
      </c>
      <c r="N76" t="s">
        <v>21</v>
      </c>
      <c r="O76" s="2">
        <v>43439</v>
      </c>
    </row>
    <row r="77" spans="1:15" x14ac:dyDescent="0.35">
      <c r="A77" t="s">
        <v>114</v>
      </c>
      <c r="B77">
        <v>53</v>
      </c>
      <c r="C77" t="s">
        <v>29</v>
      </c>
      <c r="D77" t="s">
        <v>17</v>
      </c>
      <c r="E77" t="s">
        <v>18</v>
      </c>
      <c r="F77" t="s">
        <v>32</v>
      </c>
      <c r="G77" t="s">
        <v>26</v>
      </c>
      <c r="H77">
        <v>78443</v>
      </c>
      <c r="I77">
        <v>3</v>
      </c>
      <c r="J77">
        <v>4</v>
      </c>
      <c r="K77">
        <v>7</v>
      </c>
      <c r="L77" t="s">
        <v>27</v>
      </c>
      <c r="M77">
        <v>3</v>
      </c>
      <c r="N77" t="s">
        <v>21</v>
      </c>
      <c r="O77" s="2">
        <v>42081</v>
      </c>
    </row>
    <row r="78" spans="1:15" x14ac:dyDescent="0.35">
      <c r="A78" t="s">
        <v>115</v>
      </c>
      <c r="B78">
        <v>26</v>
      </c>
      <c r="C78" t="s">
        <v>16</v>
      </c>
      <c r="D78" t="s">
        <v>17</v>
      </c>
      <c r="E78" t="s">
        <v>18</v>
      </c>
      <c r="F78" t="s">
        <v>52</v>
      </c>
      <c r="G78" t="s">
        <v>37</v>
      </c>
      <c r="H78">
        <v>95014</v>
      </c>
      <c r="I78">
        <v>3</v>
      </c>
      <c r="J78">
        <v>4</v>
      </c>
      <c r="K78">
        <v>2</v>
      </c>
      <c r="L78" t="s">
        <v>21</v>
      </c>
      <c r="M78">
        <v>3</v>
      </c>
      <c r="N78" t="s">
        <v>21</v>
      </c>
      <c r="O78" s="2">
        <v>44479</v>
      </c>
    </row>
    <row r="79" spans="1:15" x14ac:dyDescent="0.35">
      <c r="A79" t="s">
        <v>116</v>
      </c>
      <c r="B79">
        <v>46</v>
      </c>
      <c r="C79" t="s">
        <v>16</v>
      </c>
      <c r="D79" t="s">
        <v>23</v>
      </c>
      <c r="E79" t="s">
        <v>24</v>
      </c>
      <c r="F79" t="s">
        <v>17</v>
      </c>
      <c r="G79" t="s">
        <v>26</v>
      </c>
      <c r="H79">
        <v>56780</v>
      </c>
      <c r="I79">
        <v>3</v>
      </c>
      <c r="J79">
        <v>1</v>
      </c>
      <c r="K79">
        <v>18</v>
      </c>
      <c r="L79" t="s">
        <v>21</v>
      </c>
      <c r="M79">
        <v>4</v>
      </c>
      <c r="N79" t="s">
        <v>21</v>
      </c>
      <c r="O79" s="2">
        <v>42071</v>
      </c>
    </row>
    <row r="80" spans="1:15" x14ac:dyDescent="0.35">
      <c r="A80" t="s">
        <v>117</v>
      </c>
      <c r="B80">
        <v>36</v>
      </c>
      <c r="C80" t="s">
        <v>16</v>
      </c>
      <c r="D80" t="s">
        <v>30</v>
      </c>
      <c r="E80" t="s">
        <v>31</v>
      </c>
      <c r="F80" t="s">
        <v>32</v>
      </c>
      <c r="G80" t="s">
        <v>37</v>
      </c>
      <c r="H80">
        <v>101442</v>
      </c>
      <c r="I80">
        <v>2</v>
      </c>
      <c r="J80">
        <v>3</v>
      </c>
      <c r="K80">
        <v>7</v>
      </c>
      <c r="L80" t="s">
        <v>21</v>
      </c>
      <c r="M80">
        <v>3</v>
      </c>
      <c r="N80" t="s">
        <v>21</v>
      </c>
      <c r="O80" s="2">
        <v>42800</v>
      </c>
    </row>
    <row r="81" spans="1:15" x14ac:dyDescent="0.35">
      <c r="A81" t="s">
        <v>118</v>
      </c>
      <c r="B81">
        <v>45</v>
      </c>
      <c r="C81" t="s">
        <v>29</v>
      </c>
      <c r="D81" t="s">
        <v>23</v>
      </c>
      <c r="E81" t="s">
        <v>42</v>
      </c>
      <c r="F81" t="s">
        <v>17</v>
      </c>
      <c r="G81" t="s">
        <v>26</v>
      </c>
      <c r="H81">
        <v>56680</v>
      </c>
      <c r="I81">
        <v>3</v>
      </c>
      <c r="J81">
        <v>4</v>
      </c>
      <c r="K81">
        <v>2</v>
      </c>
      <c r="L81" t="s">
        <v>27</v>
      </c>
      <c r="M81">
        <v>3</v>
      </c>
      <c r="N81" t="s">
        <v>27</v>
      </c>
      <c r="O81" s="2">
        <v>43087</v>
      </c>
    </row>
    <row r="82" spans="1:15" x14ac:dyDescent="0.35">
      <c r="A82" t="s">
        <v>119</v>
      </c>
      <c r="B82">
        <v>38</v>
      </c>
      <c r="C82" t="s">
        <v>16</v>
      </c>
      <c r="D82" t="s">
        <v>30</v>
      </c>
      <c r="E82" t="s">
        <v>57</v>
      </c>
      <c r="F82" t="s">
        <v>35</v>
      </c>
      <c r="G82" t="s">
        <v>26</v>
      </c>
      <c r="H82">
        <v>115853</v>
      </c>
      <c r="I82">
        <v>3</v>
      </c>
      <c r="J82">
        <v>1</v>
      </c>
      <c r="K82">
        <v>9</v>
      </c>
      <c r="L82" t="s">
        <v>21</v>
      </c>
      <c r="M82">
        <v>4</v>
      </c>
      <c r="N82" t="s">
        <v>21</v>
      </c>
      <c r="O82" s="2">
        <v>43158</v>
      </c>
    </row>
    <row r="83" spans="1:15" x14ac:dyDescent="0.35">
      <c r="A83" t="s">
        <v>120</v>
      </c>
      <c r="B83">
        <v>57</v>
      </c>
      <c r="C83" t="s">
        <v>29</v>
      </c>
      <c r="D83" t="s">
        <v>17</v>
      </c>
      <c r="E83" t="s">
        <v>46</v>
      </c>
      <c r="F83" t="s">
        <v>17</v>
      </c>
      <c r="G83" t="s">
        <v>37</v>
      </c>
      <c r="H83">
        <v>69717</v>
      </c>
      <c r="I83">
        <v>1</v>
      </c>
      <c r="J83">
        <v>3</v>
      </c>
      <c r="K83">
        <v>2</v>
      </c>
      <c r="L83" t="s">
        <v>21</v>
      </c>
      <c r="M83">
        <v>3</v>
      </c>
      <c r="N83" t="s">
        <v>21</v>
      </c>
      <c r="O83" s="2">
        <v>45024</v>
      </c>
    </row>
    <row r="84" spans="1:15" x14ac:dyDescent="0.35">
      <c r="A84" t="s">
        <v>121</v>
      </c>
      <c r="B84">
        <v>28</v>
      </c>
      <c r="C84" t="s">
        <v>29</v>
      </c>
      <c r="D84" t="s">
        <v>17</v>
      </c>
      <c r="E84" t="s">
        <v>46</v>
      </c>
      <c r="F84" t="s">
        <v>35</v>
      </c>
      <c r="G84" t="s">
        <v>37</v>
      </c>
      <c r="H84">
        <v>21280</v>
      </c>
      <c r="I84">
        <v>3</v>
      </c>
      <c r="J84">
        <v>2</v>
      </c>
      <c r="K84">
        <v>7</v>
      </c>
      <c r="L84" t="s">
        <v>27</v>
      </c>
      <c r="M84">
        <v>3</v>
      </c>
      <c r="N84" t="s">
        <v>21</v>
      </c>
      <c r="O84" s="2">
        <v>45808</v>
      </c>
    </row>
    <row r="85" spans="1:15" x14ac:dyDescent="0.35">
      <c r="A85" t="s">
        <v>122</v>
      </c>
      <c r="B85">
        <v>24</v>
      </c>
      <c r="C85" t="s">
        <v>29</v>
      </c>
      <c r="D85" t="s">
        <v>23</v>
      </c>
      <c r="E85" t="s">
        <v>24</v>
      </c>
      <c r="F85" t="s">
        <v>52</v>
      </c>
      <c r="G85" t="s">
        <v>37</v>
      </c>
      <c r="H85">
        <v>82569</v>
      </c>
      <c r="I85">
        <v>1</v>
      </c>
      <c r="J85">
        <v>1</v>
      </c>
      <c r="K85">
        <v>2</v>
      </c>
      <c r="L85" t="s">
        <v>27</v>
      </c>
      <c r="M85">
        <v>3</v>
      </c>
      <c r="N85" t="s">
        <v>21</v>
      </c>
      <c r="O85" s="2">
        <v>43116</v>
      </c>
    </row>
    <row r="86" spans="1:15" x14ac:dyDescent="0.35">
      <c r="A86" t="s">
        <v>123</v>
      </c>
      <c r="B86">
        <v>31</v>
      </c>
      <c r="C86" t="s">
        <v>16</v>
      </c>
      <c r="D86" t="s">
        <v>17</v>
      </c>
      <c r="E86" t="s">
        <v>46</v>
      </c>
      <c r="F86" t="s">
        <v>52</v>
      </c>
      <c r="G86" t="s">
        <v>37</v>
      </c>
      <c r="H86">
        <v>30978</v>
      </c>
      <c r="I86">
        <v>4</v>
      </c>
      <c r="J86">
        <v>4</v>
      </c>
      <c r="K86">
        <v>10</v>
      </c>
      <c r="L86" t="s">
        <v>21</v>
      </c>
      <c r="M86">
        <v>3</v>
      </c>
      <c r="N86" t="s">
        <v>27</v>
      </c>
      <c r="O86" s="2">
        <v>45040</v>
      </c>
    </row>
    <row r="87" spans="1:15" x14ac:dyDescent="0.35">
      <c r="A87" t="s">
        <v>124</v>
      </c>
      <c r="B87">
        <v>28</v>
      </c>
      <c r="C87" t="s">
        <v>16</v>
      </c>
      <c r="D87" t="s">
        <v>23</v>
      </c>
      <c r="E87" t="s">
        <v>55</v>
      </c>
      <c r="F87" t="s">
        <v>35</v>
      </c>
      <c r="G87" t="s">
        <v>20</v>
      </c>
      <c r="H87">
        <v>25936</v>
      </c>
      <c r="I87">
        <v>4</v>
      </c>
      <c r="J87">
        <v>3</v>
      </c>
      <c r="K87">
        <v>5</v>
      </c>
      <c r="L87" t="s">
        <v>21</v>
      </c>
      <c r="M87">
        <v>3</v>
      </c>
      <c r="N87" t="s">
        <v>21</v>
      </c>
      <c r="O87" s="2">
        <v>45730</v>
      </c>
    </row>
    <row r="88" spans="1:15" x14ac:dyDescent="0.35">
      <c r="A88" t="s">
        <v>125</v>
      </c>
      <c r="B88">
        <v>25</v>
      </c>
      <c r="C88" t="s">
        <v>16</v>
      </c>
      <c r="D88" t="s">
        <v>17</v>
      </c>
      <c r="E88" t="s">
        <v>18</v>
      </c>
      <c r="F88" t="s">
        <v>32</v>
      </c>
      <c r="G88" t="s">
        <v>20</v>
      </c>
      <c r="H88">
        <v>34505</v>
      </c>
      <c r="I88">
        <v>2</v>
      </c>
      <c r="J88">
        <v>1</v>
      </c>
      <c r="K88">
        <v>1</v>
      </c>
      <c r="L88" t="s">
        <v>21</v>
      </c>
      <c r="M88">
        <v>3</v>
      </c>
      <c r="N88" t="s">
        <v>21</v>
      </c>
      <c r="O88" s="2">
        <v>43774</v>
      </c>
    </row>
    <row r="89" spans="1:15" x14ac:dyDescent="0.35">
      <c r="A89" t="s">
        <v>126</v>
      </c>
      <c r="B89">
        <v>39</v>
      </c>
      <c r="C89" t="s">
        <v>16</v>
      </c>
      <c r="D89" t="s">
        <v>17</v>
      </c>
      <c r="E89" t="s">
        <v>18</v>
      </c>
      <c r="F89" t="s">
        <v>19</v>
      </c>
      <c r="G89" t="s">
        <v>37</v>
      </c>
      <c r="H89">
        <v>88807</v>
      </c>
      <c r="I89">
        <v>3</v>
      </c>
      <c r="J89">
        <v>2</v>
      </c>
      <c r="K89">
        <v>4</v>
      </c>
      <c r="L89" t="s">
        <v>27</v>
      </c>
      <c r="M89">
        <v>3</v>
      </c>
      <c r="N89" t="s">
        <v>21</v>
      </c>
      <c r="O89" s="2">
        <v>42216</v>
      </c>
    </row>
    <row r="90" spans="1:15" x14ac:dyDescent="0.35">
      <c r="A90" t="s">
        <v>127</v>
      </c>
      <c r="B90">
        <v>42</v>
      </c>
      <c r="C90" t="s">
        <v>16</v>
      </c>
      <c r="D90" t="s">
        <v>23</v>
      </c>
      <c r="E90" t="s">
        <v>42</v>
      </c>
      <c r="F90" t="s">
        <v>52</v>
      </c>
      <c r="G90" t="s">
        <v>37</v>
      </c>
      <c r="H90">
        <v>52782</v>
      </c>
      <c r="I90">
        <v>1</v>
      </c>
      <c r="J90">
        <v>2</v>
      </c>
      <c r="K90">
        <v>5</v>
      </c>
      <c r="L90" t="s">
        <v>27</v>
      </c>
      <c r="M90">
        <v>4</v>
      </c>
      <c r="N90" t="s">
        <v>21</v>
      </c>
      <c r="O90" s="2">
        <v>42936</v>
      </c>
    </row>
    <row r="91" spans="1:15" x14ac:dyDescent="0.35">
      <c r="A91" t="s">
        <v>128</v>
      </c>
      <c r="B91">
        <v>50</v>
      </c>
      <c r="C91" t="s">
        <v>29</v>
      </c>
      <c r="D91" t="s">
        <v>30</v>
      </c>
      <c r="E91" t="s">
        <v>34</v>
      </c>
      <c r="F91" t="s">
        <v>52</v>
      </c>
      <c r="G91" t="s">
        <v>26</v>
      </c>
      <c r="H91">
        <v>23683</v>
      </c>
      <c r="I91">
        <v>3</v>
      </c>
      <c r="J91">
        <v>4</v>
      </c>
      <c r="K91">
        <v>19</v>
      </c>
      <c r="L91" t="s">
        <v>27</v>
      </c>
      <c r="M91">
        <v>3</v>
      </c>
      <c r="N91" t="s">
        <v>27</v>
      </c>
      <c r="O91" s="2">
        <v>45928</v>
      </c>
    </row>
    <row r="92" spans="1:15" x14ac:dyDescent="0.35">
      <c r="A92" t="s">
        <v>129</v>
      </c>
      <c r="B92">
        <v>50</v>
      </c>
      <c r="C92" t="s">
        <v>29</v>
      </c>
      <c r="D92" t="s">
        <v>23</v>
      </c>
      <c r="E92" t="s">
        <v>55</v>
      </c>
      <c r="F92" t="s">
        <v>17</v>
      </c>
      <c r="G92" t="s">
        <v>26</v>
      </c>
      <c r="H92">
        <v>60219</v>
      </c>
      <c r="I92">
        <v>2</v>
      </c>
      <c r="J92">
        <v>1</v>
      </c>
      <c r="K92">
        <v>2</v>
      </c>
      <c r="L92" t="s">
        <v>27</v>
      </c>
      <c r="M92">
        <v>3</v>
      </c>
      <c r="N92" t="s">
        <v>27</v>
      </c>
      <c r="O92" s="2">
        <v>44668</v>
      </c>
    </row>
    <row r="93" spans="1:15" x14ac:dyDescent="0.35">
      <c r="A93" t="s">
        <v>130</v>
      </c>
      <c r="B93">
        <v>54</v>
      </c>
      <c r="C93" t="s">
        <v>29</v>
      </c>
      <c r="D93" t="s">
        <v>30</v>
      </c>
      <c r="E93" t="s">
        <v>40</v>
      </c>
      <c r="F93" t="s">
        <v>32</v>
      </c>
      <c r="G93" t="s">
        <v>37</v>
      </c>
      <c r="H93">
        <v>109983</v>
      </c>
      <c r="I93">
        <v>1</v>
      </c>
      <c r="J93">
        <v>2</v>
      </c>
      <c r="K93">
        <v>3</v>
      </c>
      <c r="L93" t="s">
        <v>21</v>
      </c>
      <c r="M93">
        <v>4</v>
      </c>
      <c r="N93" t="s">
        <v>21</v>
      </c>
      <c r="O93" s="2">
        <v>43876</v>
      </c>
    </row>
    <row r="94" spans="1:15" x14ac:dyDescent="0.35">
      <c r="A94" t="s">
        <v>131</v>
      </c>
      <c r="B94">
        <v>28</v>
      </c>
      <c r="C94" t="s">
        <v>16</v>
      </c>
      <c r="D94" t="s">
        <v>30</v>
      </c>
      <c r="E94" t="s">
        <v>40</v>
      </c>
      <c r="F94" t="s">
        <v>19</v>
      </c>
      <c r="G94" t="s">
        <v>20</v>
      </c>
      <c r="H94">
        <v>58963</v>
      </c>
      <c r="I94">
        <v>3</v>
      </c>
      <c r="J94">
        <v>3</v>
      </c>
      <c r="K94">
        <v>6</v>
      </c>
      <c r="L94" t="s">
        <v>21</v>
      </c>
      <c r="M94">
        <v>3</v>
      </c>
      <c r="N94" t="s">
        <v>21</v>
      </c>
      <c r="O94" s="2">
        <v>45890</v>
      </c>
    </row>
    <row r="95" spans="1:15" x14ac:dyDescent="0.35">
      <c r="A95" t="s">
        <v>132</v>
      </c>
      <c r="B95">
        <v>28</v>
      </c>
      <c r="C95" t="s">
        <v>29</v>
      </c>
      <c r="D95" t="s">
        <v>23</v>
      </c>
      <c r="E95" t="s">
        <v>55</v>
      </c>
      <c r="F95" t="s">
        <v>35</v>
      </c>
      <c r="G95" t="s">
        <v>20</v>
      </c>
      <c r="H95">
        <v>90924</v>
      </c>
      <c r="I95">
        <v>1</v>
      </c>
      <c r="J95">
        <v>3</v>
      </c>
      <c r="K95">
        <v>2</v>
      </c>
      <c r="L95" t="s">
        <v>21</v>
      </c>
      <c r="M95">
        <v>3</v>
      </c>
      <c r="N95" t="s">
        <v>21</v>
      </c>
      <c r="O95" s="2">
        <v>44901</v>
      </c>
    </row>
    <row r="96" spans="1:15" x14ac:dyDescent="0.35">
      <c r="A96" t="s">
        <v>133</v>
      </c>
      <c r="B96">
        <v>44</v>
      </c>
      <c r="C96" t="s">
        <v>29</v>
      </c>
      <c r="D96" t="s">
        <v>30</v>
      </c>
      <c r="E96" t="s">
        <v>31</v>
      </c>
      <c r="F96" t="s">
        <v>17</v>
      </c>
      <c r="G96" t="s">
        <v>37</v>
      </c>
      <c r="H96">
        <v>84507</v>
      </c>
      <c r="I96">
        <v>2</v>
      </c>
      <c r="J96">
        <v>2</v>
      </c>
      <c r="K96">
        <v>18</v>
      </c>
      <c r="L96" t="s">
        <v>27</v>
      </c>
      <c r="M96">
        <v>4</v>
      </c>
      <c r="N96" t="s">
        <v>27</v>
      </c>
      <c r="O96" s="2">
        <v>42891</v>
      </c>
    </row>
    <row r="97" spans="1:15" x14ac:dyDescent="0.35">
      <c r="A97" t="s">
        <v>134</v>
      </c>
      <c r="B97">
        <v>58</v>
      </c>
      <c r="C97" t="s">
        <v>29</v>
      </c>
      <c r="D97" t="s">
        <v>23</v>
      </c>
      <c r="E97" t="s">
        <v>55</v>
      </c>
      <c r="F97" t="s">
        <v>32</v>
      </c>
      <c r="G97" t="s">
        <v>37</v>
      </c>
      <c r="H97">
        <v>74244</v>
      </c>
      <c r="I97">
        <v>1</v>
      </c>
      <c r="J97">
        <v>3</v>
      </c>
      <c r="K97">
        <v>25</v>
      </c>
      <c r="L97" t="s">
        <v>27</v>
      </c>
      <c r="M97">
        <v>3</v>
      </c>
      <c r="N97" t="s">
        <v>27</v>
      </c>
      <c r="O97" s="2">
        <v>44243</v>
      </c>
    </row>
    <row r="98" spans="1:15" x14ac:dyDescent="0.35">
      <c r="A98" t="s">
        <v>135</v>
      </c>
      <c r="B98">
        <v>31</v>
      </c>
      <c r="C98" t="s">
        <v>29</v>
      </c>
      <c r="D98" t="s">
        <v>23</v>
      </c>
      <c r="E98" t="s">
        <v>24</v>
      </c>
      <c r="F98" t="s">
        <v>32</v>
      </c>
      <c r="G98" t="s">
        <v>20</v>
      </c>
      <c r="H98">
        <v>36595</v>
      </c>
      <c r="I98">
        <v>1</v>
      </c>
      <c r="J98">
        <v>1</v>
      </c>
      <c r="K98">
        <v>1</v>
      </c>
      <c r="L98" t="s">
        <v>21</v>
      </c>
      <c r="M98">
        <v>3</v>
      </c>
      <c r="N98" t="s">
        <v>21</v>
      </c>
      <c r="O98" s="2">
        <v>45444</v>
      </c>
    </row>
    <row r="99" spans="1:15" x14ac:dyDescent="0.35">
      <c r="A99" t="s">
        <v>136</v>
      </c>
      <c r="B99">
        <v>42</v>
      </c>
      <c r="C99" t="s">
        <v>29</v>
      </c>
      <c r="D99" t="s">
        <v>30</v>
      </c>
      <c r="E99" t="s">
        <v>31</v>
      </c>
      <c r="F99" t="s">
        <v>52</v>
      </c>
      <c r="G99" t="s">
        <v>26</v>
      </c>
      <c r="H99">
        <v>38392</v>
      </c>
      <c r="I99">
        <v>2</v>
      </c>
      <c r="J99">
        <v>1</v>
      </c>
      <c r="K99">
        <v>1</v>
      </c>
      <c r="L99" t="s">
        <v>27</v>
      </c>
      <c r="M99">
        <v>3</v>
      </c>
      <c r="N99" t="s">
        <v>27</v>
      </c>
      <c r="O99" s="2">
        <v>45634</v>
      </c>
    </row>
    <row r="100" spans="1:15" x14ac:dyDescent="0.35">
      <c r="A100" t="s">
        <v>137</v>
      </c>
      <c r="B100">
        <v>39</v>
      </c>
      <c r="C100" t="s">
        <v>29</v>
      </c>
      <c r="D100" t="s">
        <v>30</v>
      </c>
      <c r="E100" t="s">
        <v>40</v>
      </c>
      <c r="F100" t="s">
        <v>19</v>
      </c>
      <c r="G100" t="s">
        <v>20</v>
      </c>
      <c r="H100">
        <v>32918</v>
      </c>
      <c r="I100">
        <v>3</v>
      </c>
      <c r="J100">
        <v>4</v>
      </c>
      <c r="K100">
        <v>16</v>
      </c>
      <c r="L100" t="s">
        <v>27</v>
      </c>
      <c r="M100">
        <v>3</v>
      </c>
      <c r="N100" t="s">
        <v>21</v>
      </c>
      <c r="O100" s="2">
        <v>45991</v>
      </c>
    </row>
    <row r="101" spans="1:15" x14ac:dyDescent="0.35">
      <c r="A101" t="s">
        <v>138</v>
      </c>
      <c r="B101">
        <v>22</v>
      </c>
      <c r="C101" t="s">
        <v>16</v>
      </c>
      <c r="D101" t="s">
        <v>30</v>
      </c>
      <c r="E101" t="s">
        <v>34</v>
      </c>
      <c r="F101" t="s">
        <v>52</v>
      </c>
      <c r="G101" t="s">
        <v>26</v>
      </c>
      <c r="H101">
        <v>45686</v>
      </c>
      <c r="I101">
        <v>2</v>
      </c>
      <c r="J101">
        <v>3</v>
      </c>
      <c r="K101">
        <v>1</v>
      </c>
      <c r="L101" t="s">
        <v>27</v>
      </c>
      <c r="M101">
        <v>3</v>
      </c>
      <c r="N101" t="s">
        <v>21</v>
      </c>
      <c r="O101" s="2">
        <v>42987</v>
      </c>
    </row>
    <row r="102" spans="1:15" x14ac:dyDescent="0.35">
      <c r="A102" t="s">
        <v>139</v>
      </c>
      <c r="B102">
        <v>30</v>
      </c>
      <c r="C102" t="s">
        <v>29</v>
      </c>
      <c r="D102" t="s">
        <v>30</v>
      </c>
      <c r="E102" t="s">
        <v>57</v>
      </c>
      <c r="F102" t="s">
        <v>19</v>
      </c>
      <c r="G102" t="s">
        <v>37</v>
      </c>
      <c r="H102">
        <v>110231</v>
      </c>
      <c r="I102">
        <v>2</v>
      </c>
      <c r="J102">
        <v>3</v>
      </c>
      <c r="K102">
        <v>8</v>
      </c>
      <c r="L102" t="s">
        <v>21</v>
      </c>
      <c r="M102">
        <v>3</v>
      </c>
      <c r="N102" t="s">
        <v>21</v>
      </c>
      <c r="O102" s="2">
        <v>42351</v>
      </c>
    </row>
    <row r="103" spans="1:15" x14ac:dyDescent="0.35">
      <c r="A103" t="s">
        <v>140</v>
      </c>
      <c r="B103">
        <v>58</v>
      </c>
      <c r="C103" t="s">
        <v>29</v>
      </c>
      <c r="D103" t="s">
        <v>23</v>
      </c>
      <c r="E103" t="s">
        <v>55</v>
      </c>
      <c r="F103" t="s">
        <v>25</v>
      </c>
      <c r="G103" t="s">
        <v>26</v>
      </c>
      <c r="H103">
        <v>71008</v>
      </c>
      <c r="I103">
        <v>4</v>
      </c>
      <c r="J103">
        <v>3</v>
      </c>
      <c r="K103">
        <v>18</v>
      </c>
      <c r="L103" t="s">
        <v>21</v>
      </c>
      <c r="M103">
        <v>3</v>
      </c>
      <c r="N103" t="s">
        <v>21</v>
      </c>
      <c r="O103" s="2">
        <v>42175</v>
      </c>
    </row>
    <row r="104" spans="1:15" x14ac:dyDescent="0.35">
      <c r="A104" t="s">
        <v>141</v>
      </c>
      <c r="B104">
        <v>27</v>
      </c>
      <c r="C104" t="s">
        <v>29</v>
      </c>
      <c r="D104" t="s">
        <v>30</v>
      </c>
      <c r="E104" t="s">
        <v>31</v>
      </c>
      <c r="F104" t="s">
        <v>32</v>
      </c>
      <c r="G104" t="s">
        <v>26</v>
      </c>
      <c r="H104">
        <v>31875</v>
      </c>
      <c r="I104">
        <v>2</v>
      </c>
      <c r="J104">
        <v>4</v>
      </c>
      <c r="K104">
        <v>6</v>
      </c>
      <c r="L104" t="s">
        <v>21</v>
      </c>
      <c r="M104">
        <v>4</v>
      </c>
      <c r="N104" t="s">
        <v>21</v>
      </c>
      <c r="O104" s="2">
        <v>42649</v>
      </c>
    </row>
    <row r="105" spans="1:15" x14ac:dyDescent="0.35">
      <c r="A105" t="s">
        <v>142</v>
      </c>
      <c r="B105">
        <v>43</v>
      </c>
      <c r="C105" t="s">
        <v>16</v>
      </c>
      <c r="D105" t="s">
        <v>30</v>
      </c>
      <c r="E105" t="s">
        <v>57</v>
      </c>
      <c r="F105" t="s">
        <v>19</v>
      </c>
      <c r="G105" t="s">
        <v>20</v>
      </c>
      <c r="H105">
        <v>84910</v>
      </c>
      <c r="I105">
        <v>1</v>
      </c>
      <c r="J105">
        <v>2</v>
      </c>
      <c r="K105">
        <v>2</v>
      </c>
      <c r="L105" t="s">
        <v>27</v>
      </c>
      <c r="M105">
        <v>3</v>
      </c>
      <c r="N105" t="s">
        <v>21</v>
      </c>
      <c r="O105" s="2">
        <v>43214</v>
      </c>
    </row>
    <row r="106" spans="1:15" x14ac:dyDescent="0.35">
      <c r="A106" t="s">
        <v>143</v>
      </c>
      <c r="B106">
        <v>33</v>
      </c>
      <c r="C106" t="s">
        <v>29</v>
      </c>
      <c r="D106" t="s">
        <v>30</v>
      </c>
      <c r="E106" t="s">
        <v>57</v>
      </c>
      <c r="F106" t="s">
        <v>35</v>
      </c>
      <c r="G106" t="s">
        <v>37</v>
      </c>
      <c r="H106">
        <v>117503</v>
      </c>
      <c r="I106">
        <v>1</v>
      </c>
      <c r="J106">
        <v>2</v>
      </c>
      <c r="K106">
        <v>12</v>
      </c>
      <c r="L106" t="s">
        <v>27</v>
      </c>
      <c r="M106">
        <v>4</v>
      </c>
      <c r="N106" t="s">
        <v>21</v>
      </c>
      <c r="O106" s="2">
        <v>45682</v>
      </c>
    </row>
    <row r="107" spans="1:15" x14ac:dyDescent="0.35">
      <c r="A107" t="s">
        <v>144</v>
      </c>
      <c r="B107">
        <v>26</v>
      </c>
      <c r="C107" t="s">
        <v>16</v>
      </c>
      <c r="D107" t="s">
        <v>23</v>
      </c>
      <c r="E107" t="s">
        <v>55</v>
      </c>
      <c r="F107" t="s">
        <v>32</v>
      </c>
      <c r="G107" t="s">
        <v>37</v>
      </c>
      <c r="H107">
        <v>100756</v>
      </c>
      <c r="I107">
        <v>3</v>
      </c>
      <c r="J107">
        <v>3</v>
      </c>
      <c r="K107">
        <v>3</v>
      </c>
      <c r="L107" t="s">
        <v>21</v>
      </c>
      <c r="M107">
        <v>3</v>
      </c>
      <c r="N107" t="s">
        <v>21</v>
      </c>
      <c r="O107" s="2">
        <v>46161</v>
      </c>
    </row>
    <row r="108" spans="1:15" x14ac:dyDescent="0.35">
      <c r="A108" t="s">
        <v>145</v>
      </c>
      <c r="B108">
        <v>25</v>
      </c>
      <c r="C108" t="s">
        <v>29</v>
      </c>
      <c r="D108" t="s">
        <v>30</v>
      </c>
      <c r="E108" t="s">
        <v>34</v>
      </c>
      <c r="F108" t="s">
        <v>17</v>
      </c>
      <c r="G108" t="s">
        <v>26</v>
      </c>
      <c r="H108">
        <v>28057</v>
      </c>
      <c r="I108">
        <v>1</v>
      </c>
      <c r="J108">
        <v>4</v>
      </c>
      <c r="K108">
        <v>2</v>
      </c>
      <c r="L108" t="s">
        <v>21</v>
      </c>
      <c r="M108">
        <v>4</v>
      </c>
      <c r="N108" t="s">
        <v>21</v>
      </c>
      <c r="O108" s="2">
        <v>42341</v>
      </c>
    </row>
    <row r="109" spans="1:15" x14ac:dyDescent="0.35">
      <c r="A109" t="s">
        <v>146</v>
      </c>
      <c r="B109">
        <v>52</v>
      </c>
      <c r="C109" t="s">
        <v>16</v>
      </c>
      <c r="D109" t="s">
        <v>23</v>
      </c>
      <c r="E109" t="s">
        <v>55</v>
      </c>
      <c r="F109" t="s">
        <v>25</v>
      </c>
      <c r="G109" t="s">
        <v>26</v>
      </c>
      <c r="H109">
        <v>77050</v>
      </c>
      <c r="I109">
        <v>1</v>
      </c>
      <c r="J109">
        <v>3</v>
      </c>
      <c r="K109">
        <v>1</v>
      </c>
      <c r="L109" t="s">
        <v>27</v>
      </c>
      <c r="M109">
        <v>3</v>
      </c>
      <c r="N109" t="s">
        <v>21</v>
      </c>
      <c r="O109" s="2">
        <v>43418</v>
      </c>
    </row>
    <row r="110" spans="1:15" x14ac:dyDescent="0.35">
      <c r="A110" t="s">
        <v>147</v>
      </c>
      <c r="B110">
        <v>55</v>
      </c>
      <c r="C110" t="s">
        <v>16</v>
      </c>
      <c r="D110" t="s">
        <v>30</v>
      </c>
      <c r="E110" t="s">
        <v>40</v>
      </c>
      <c r="F110" t="s">
        <v>35</v>
      </c>
      <c r="G110" t="s">
        <v>26</v>
      </c>
      <c r="H110">
        <v>66870</v>
      </c>
      <c r="I110">
        <v>3</v>
      </c>
      <c r="J110">
        <v>4</v>
      </c>
      <c r="K110">
        <v>11</v>
      </c>
      <c r="L110" t="s">
        <v>27</v>
      </c>
      <c r="M110">
        <v>4</v>
      </c>
      <c r="N110" t="s">
        <v>21</v>
      </c>
      <c r="O110" s="2">
        <v>44776</v>
      </c>
    </row>
    <row r="111" spans="1:15" x14ac:dyDescent="0.35">
      <c r="A111" t="s">
        <v>148</v>
      </c>
      <c r="B111">
        <v>43</v>
      </c>
      <c r="C111" t="s">
        <v>29</v>
      </c>
      <c r="D111" t="s">
        <v>30</v>
      </c>
      <c r="E111" t="s">
        <v>34</v>
      </c>
      <c r="F111" t="s">
        <v>19</v>
      </c>
      <c r="G111" t="s">
        <v>26</v>
      </c>
      <c r="H111">
        <v>106916</v>
      </c>
      <c r="I111">
        <v>4</v>
      </c>
      <c r="J111">
        <v>3</v>
      </c>
      <c r="K111">
        <v>17</v>
      </c>
      <c r="L111" t="s">
        <v>27</v>
      </c>
      <c r="M111">
        <v>3</v>
      </c>
      <c r="N111" t="s">
        <v>21</v>
      </c>
      <c r="O111" s="2">
        <v>43236</v>
      </c>
    </row>
    <row r="112" spans="1:15" x14ac:dyDescent="0.35">
      <c r="A112" t="s">
        <v>149</v>
      </c>
      <c r="B112">
        <v>44</v>
      </c>
      <c r="C112" t="s">
        <v>29</v>
      </c>
      <c r="D112" t="s">
        <v>17</v>
      </c>
      <c r="E112" t="s">
        <v>18</v>
      </c>
      <c r="F112" t="s">
        <v>25</v>
      </c>
      <c r="G112" t="s">
        <v>26</v>
      </c>
      <c r="H112">
        <v>109551</v>
      </c>
      <c r="I112">
        <v>4</v>
      </c>
      <c r="J112">
        <v>2</v>
      </c>
      <c r="K112">
        <v>20</v>
      </c>
      <c r="L112" t="s">
        <v>21</v>
      </c>
      <c r="M112">
        <v>3</v>
      </c>
      <c r="N112" t="s">
        <v>21</v>
      </c>
      <c r="O112" s="2">
        <v>45090</v>
      </c>
    </row>
    <row r="113" spans="1:15" x14ac:dyDescent="0.35">
      <c r="A113" t="s">
        <v>150</v>
      </c>
      <c r="B113">
        <v>49</v>
      </c>
      <c r="C113" t="s">
        <v>16</v>
      </c>
      <c r="D113" t="s">
        <v>17</v>
      </c>
      <c r="E113" t="s">
        <v>18</v>
      </c>
      <c r="F113" t="s">
        <v>25</v>
      </c>
      <c r="G113" t="s">
        <v>20</v>
      </c>
      <c r="H113">
        <v>65526</v>
      </c>
      <c r="I113">
        <v>3</v>
      </c>
      <c r="J113">
        <v>2</v>
      </c>
      <c r="K113">
        <v>0</v>
      </c>
      <c r="L113" t="s">
        <v>21</v>
      </c>
      <c r="M113">
        <v>3</v>
      </c>
      <c r="N113" t="s">
        <v>21</v>
      </c>
      <c r="O113" s="2">
        <v>45988</v>
      </c>
    </row>
    <row r="114" spans="1:15" x14ac:dyDescent="0.35">
      <c r="A114" t="s">
        <v>151</v>
      </c>
      <c r="B114">
        <v>40</v>
      </c>
      <c r="C114" t="s">
        <v>16</v>
      </c>
      <c r="D114" t="s">
        <v>23</v>
      </c>
      <c r="E114" t="s">
        <v>24</v>
      </c>
      <c r="F114" t="s">
        <v>25</v>
      </c>
      <c r="G114" t="s">
        <v>20</v>
      </c>
      <c r="H114">
        <v>119040</v>
      </c>
      <c r="I114">
        <v>1</v>
      </c>
      <c r="J114">
        <v>3</v>
      </c>
      <c r="K114">
        <v>16</v>
      </c>
      <c r="L114" t="s">
        <v>27</v>
      </c>
      <c r="M114">
        <v>3</v>
      </c>
      <c r="N114" t="s">
        <v>21</v>
      </c>
      <c r="O114" s="2">
        <v>45091</v>
      </c>
    </row>
    <row r="115" spans="1:15" x14ac:dyDescent="0.35">
      <c r="A115" t="s">
        <v>152</v>
      </c>
      <c r="B115">
        <v>50</v>
      </c>
      <c r="C115" t="s">
        <v>16</v>
      </c>
      <c r="D115" t="s">
        <v>17</v>
      </c>
      <c r="E115" t="s">
        <v>18</v>
      </c>
      <c r="F115" t="s">
        <v>17</v>
      </c>
      <c r="G115" t="s">
        <v>20</v>
      </c>
      <c r="H115">
        <v>65749</v>
      </c>
      <c r="I115">
        <v>2</v>
      </c>
      <c r="J115">
        <v>4</v>
      </c>
      <c r="K115">
        <v>13</v>
      </c>
      <c r="L115" t="s">
        <v>27</v>
      </c>
      <c r="M115">
        <v>3</v>
      </c>
      <c r="N115" t="s">
        <v>21</v>
      </c>
      <c r="O115" s="2">
        <v>45682</v>
      </c>
    </row>
    <row r="116" spans="1:15" x14ac:dyDescent="0.35">
      <c r="A116" t="s">
        <v>153</v>
      </c>
      <c r="B116">
        <v>34</v>
      </c>
      <c r="C116" t="s">
        <v>29</v>
      </c>
      <c r="D116" t="s">
        <v>30</v>
      </c>
      <c r="E116" t="s">
        <v>40</v>
      </c>
      <c r="F116" t="s">
        <v>25</v>
      </c>
      <c r="G116" t="s">
        <v>20</v>
      </c>
      <c r="H116">
        <v>92766</v>
      </c>
      <c r="I116">
        <v>4</v>
      </c>
      <c r="J116">
        <v>4</v>
      </c>
      <c r="K116">
        <v>10</v>
      </c>
      <c r="L116" t="s">
        <v>21</v>
      </c>
      <c r="M116">
        <v>3</v>
      </c>
      <c r="N116" t="s">
        <v>21</v>
      </c>
      <c r="O116" s="2">
        <v>45133</v>
      </c>
    </row>
    <row r="117" spans="1:15" x14ac:dyDescent="0.35">
      <c r="A117" t="s">
        <v>154</v>
      </c>
      <c r="B117">
        <v>38</v>
      </c>
      <c r="C117" t="s">
        <v>29</v>
      </c>
      <c r="D117" t="s">
        <v>17</v>
      </c>
      <c r="E117" t="s">
        <v>18</v>
      </c>
      <c r="F117" t="s">
        <v>52</v>
      </c>
      <c r="G117" t="s">
        <v>26</v>
      </c>
      <c r="H117">
        <v>66655</v>
      </c>
      <c r="I117">
        <v>1</v>
      </c>
      <c r="J117">
        <v>1</v>
      </c>
      <c r="K117">
        <v>15</v>
      </c>
      <c r="L117" t="s">
        <v>27</v>
      </c>
      <c r="M117">
        <v>3</v>
      </c>
      <c r="N117" t="s">
        <v>27</v>
      </c>
      <c r="O117" s="2">
        <v>43318</v>
      </c>
    </row>
    <row r="118" spans="1:15" x14ac:dyDescent="0.35">
      <c r="A118" t="s">
        <v>155</v>
      </c>
      <c r="B118">
        <v>27</v>
      </c>
      <c r="C118" t="s">
        <v>29</v>
      </c>
      <c r="D118" t="s">
        <v>23</v>
      </c>
      <c r="E118" t="s">
        <v>55</v>
      </c>
      <c r="F118" t="s">
        <v>25</v>
      </c>
      <c r="G118" t="s">
        <v>37</v>
      </c>
      <c r="H118">
        <v>77130</v>
      </c>
      <c r="I118">
        <v>3</v>
      </c>
      <c r="J118">
        <v>1</v>
      </c>
      <c r="K118">
        <v>6</v>
      </c>
      <c r="L118" t="s">
        <v>27</v>
      </c>
      <c r="M118">
        <v>4</v>
      </c>
      <c r="N118" t="s">
        <v>27</v>
      </c>
      <c r="O118" s="2">
        <v>45252</v>
      </c>
    </row>
    <row r="119" spans="1:15" x14ac:dyDescent="0.35">
      <c r="A119" t="s">
        <v>156</v>
      </c>
      <c r="B119">
        <v>36</v>
      </c>
      <c r="C119" t="s">
        <v>29</v>
      </c>
      <c r="D119" t="s">
        <v>23</v>
      </c>
      <c r="E119" t="s">
        <v>55</v>
      </c>
      <c r="F119" t="s">
        <v>35</v>
      </c>
      <c r="G119" t="s">
        <v>20</v>
      </c>
      <c r="H119">
        <v>30987</v>
      </c>
      <c r="I119">
        <v>3</v>
      </c>
      <c r="J119">
        <v>2</v>
      </c>
      <c r="K119">
        <v>10</v>
      </c>
      <c r="L119" t="s">
        <v>27</v>
      </c>
      <c r="M119">
        <v>3</v>
      </c>
      <c r="N119" t="s">
        <v>27</v>
      </c>
      <c r="O119" s="2">
        <v>44355</v>
      </c>
    </row>
    <row r="120" spans="1:15" x14ac:dyDescent="0.35">
      <c r="A120" t="s">
        <v>157</v>
      </c>
      <c r="B120">
        <v>50</v>
      </c>
      <c r="C120" t="s">
        <v>16</v>
      </c>
      <c r="D120" t="s">
        <v>17</v>
      </c>
      <c r="E120" t="s">
        <v>46</v>
      </c>
      <c r="F120" t="s">
        <v>32</v>
      </c>
      <c r="G120" t="s">
        <v>20</v>
      </c>
      <c r="H120">
        <v>20490</v>
      </c>
      <c r="I120">
        <v>3</v>
      </c>
      <c r="J120">
        <v>2</v>
      </c>
      <c r="K120">
        <v>2</v>
      </c>
      <c r="L120" t="s">
        <v>27</v>
      </c>
      <c r="M120">
        <v>3</v>
      </c>
      <c r="N120" t="s">
        <v>21</v>
      </c>
      <c r="O120" s="2">
        <v>45472</v>
      </c>
    </row>
    <row r="121" spans="1:15" x14ac:dyDescent="0.35">
      <c r="A121" t="s">
        <v>158</v>
      </c>
      <c r="B121">
        <v>25</v>
      </c>
      <c r="C121" t="s">
        <v>16</v>
      </c>
      <c r="D121" t="s">
        <v>30</v>
      </c>
      <c r="E121" t="s">
        <v>34</v>
      </c>
      <c r="F121" t="s">
        <v>35</v>
      </c>
      <c r="G121" t="s">
        <v>20</v>
      </c>
      <c r="H121">
        <v>101748</v>
      </c>
      <c r="I121">
        <v>4</v>
      </c>
      <c r="J121">
        <v>1</v>
      </c>
      <c r="K121">
        <v>3</v>
      </c>
      <c r="L121" t="s">
        <v>27</v>
      </c>
      <c r="M121">
        <v>3</v>
      </c>
      <c r="N121" t="s">
        <v>21</v>
      </c>
      <c r="O121" s="2">
        <v>42139</v>
      </c>
    </row>
    <row r="122" spans="1:15" x14ac:dyDescent="0.35">
      <c r="A122" t="s">
        <v>159</v>
      </c>
      <c r="B122">
        <v>22</v>
      </c>
      <c r="C122" t="s">
        <v>16</v>
      </c>
      <c r="D122" t="s">
        <v>30</v>
      </c>
      <c r="E122" t="s">
        <v>40</v>
      </c>
      <c r="F122" t="s">
        <v>17</v>
      </c>
      <c r="G122" t="s">
        <v>26</v>
      </c>
      <c r="H122">
        <v>92798</v>
      </c>
      <c r="I122">
        <v>4</v>
      </c>
      <c r="J122">
        <v>2</v>
      </c>
      <c r="K122">
        <v>0</v>
      </c>
      <c r="L122" t="s">
        <v>21</v>
      </c>
      <c r="M122">
        <v>3</v>
      </c>
      <c r="N122" t="s">
        <v>21</v>
      </c>
      <c r="O122" s="2">
        <v>44959</v>
      </c>
    </row>
    <row r="123" spans="1:15" x14ac:dyDescent="0.35">
      <c r="A123" t="s">
        <v>160</v>
      </c>
      <c r="B123">
        <v>46</v>
      </c>
      <c r="C123" t="s">
        <v>29</v>
      </c>
      <c r="D123" t="s">
        <v>17</v>
      </c>
      <c r="E123" t="s">
        <v>18</v>
      </c>
      <c r="F123" t="s">
        <v>19</v>
      </c>
      <c r="G123" t="s">
        <v>37</v>
      </c>
      <c r="H123">
        <v>101318</v>
      </c>
      <c r="I123">
        <v>4</v>
      </c>
      <c r="J123">
        <v>3</v>
      </c>
      <c r="K123">
        <v>1</v>
      </c>
      <c r="L123" t="s">
        <v>21</v>
      </c>
      <c r="M123">
        <v>3</v>
      </c>
      <c r="N123" t="s">
        <v>21</v>
      </c>
      <c r="O123" s="2">
        <v>42138</v>
      </c>
    </row>
    <row r="124" spans="1:15" x14ac:dyDescent="0.35">
      <c r="A124" t="s">
        <v>161</v>
      </c>
      <c r="B124">
        <v>28</v>
      </c>
      <c r="C124" t="s">
        <v>29</v>
      </c>
      <c r="D124" t="s">
        <v>23</v>
      </c>
      <c r="E124" t="s">
        <v>42</v>
      </c>
      <c r="F124" t="s">
        <v>35</v>
      </c>
      <c r="G124" t="s">
        <v>20</v>
      </c>
      <c r="H124">
        <v>23811</v>
      </c>
      <c r="I124">
        <v>3</v>
      </c>
      <c r="J124">
        <v>3</v>
      </c>
      <c r="K124">
        <v>2</v>
      </c>
      <c r="L124" t="s">
        <v>21</v>
      </c>
      <c r="M124">
        <v>3</v>
      </c>
      <c r="N124" t="s">
        <v>21</v>
      </c>
      <c r="O124" s="2">
        <v>45811</v>
      </c>
    </row>
    <row r="125" spans="1:15" x14ac:dyDescent="0.35">
      <c r="A125" t="s">
        <v>162</v>
      </c>
      <c r="B125">
        <v>51</v>
      </c>
      <c r="C125" t="s">
        <v>29</v>
      </c>
      <c r="D125" t="s">
        <v>23</v>
      </c>
      <c r="E125" t="s">
        <v>24</v>
      </c>
      <c r="F125" t="s">
        <v>17</v>
      </c>
      <c r="G125" t="s">
        <v>37</v>
      </c>
      <c r="H125">
        <v>44422</v>
      </c>
      <c r="I125">
        <v>1</v>
      </c>
      <c r="J125">
        <v>2</v>
      </c>
      <c r="K125">
        <v>9</v>
      </c>
      <c r="L125" t="s">
        <v>27</v>
      </c>
      <c r="M125">
        <v>3</v>
      </c>
      <c r="N125" t="s">
        <v>21</v>
      </c>
      <c r="O125" s="2">
        <v>44545</v>
      </c>
    </row>
    <row r="126" spans="1:15" x14ac:dyDescent="0.35">
      <c r="A126" t="s">
        <v>163</v>
      </c>
      <c r="B126">
        <v>34</v>
      </c>
      <c r="C126" t="s">
        <v>29</v>
      </c>
      <c r="D126" t="s">
        <v>30</v>
      </c>
      <c r="E126" t="s">
        <v>34</v>
      </c>
      <c r="F126" t="s">
        <v>35</v>
      </c>
      <c r="G126" t="s">
        <v>37</v>
      </c>
      <c r="H126">
        <v>24265</v>
      </c>
      <c r="I126">
        <v>3</v>
      </c>
      <c r="J126">
        <v>3</v>
      </c>
      <c r="K126">
        <v>5</v>
      </c>
      <c r="L126" t="s">
        <v>21</v>
      </c>
      <c r="M126">
        <v>3</v>
      </c>
      <c r="N126" t="s">
        <v>21</v>
      </c>
      <c r="O126" s="2">
        <v>45584</v>
      </c>
    </row>
    <row r="127" spans="1:15" x14ac:dyDescent="0.35">
      <c r="A127" t="s">
        <v>164</v>
      </c>
      <c r="B127">
        <v>33</v>
      </c>
      <c r="C127" t="s">
        <v>16</v>
      </c>
      <c r="D127" t="s">
        <v>30</v>
      </c>
      <c r="E127" t="s">
        <v>31</v>
      </c>
      <c r="F127" t="s">
        <v>52</v>
      </c>
      <c r="G127" t="s">
        <v>26</v>
      </c>
      <c r="H127">
        <v>83211</v>
      </c>
      <c r="I127">
        <v>3</v>
      </c>
      <c r="J127">
        <v>3</v>
      </c>
      <c r="K127">
        <v>11</v>
      </c>
      <c r="L127" t="s">
        <v>21</v>
      </c>
      <c r="M127">
        <v>3</v>
      </c>
      <c r="N127" t="s">
        <v>21</v>
      </c>
      <c r="O127" s="2">
        <v>45482</v>
      </c>
    </row>
    <row r="128" spans="1:15" x14ac:dyDescent="0.35">
      <c r="A128" t="s">
        <v>165</v>
      </c>
      <c r="B128">
        <v>40</v>
      </c>
      <c r="C128" t="s">
        <v>16</v>
      </c>
      <c r="D128" t="s">
        <v>23</v>
      </c>
      <c r="E128" t="s">
        <v>42</v>
      </c>
      <c r="F128" t="s">
        <v>35</v>
      </c>
      <c r="G128" t="s">
        <v>37</v>
      </c>
      <c r="H128">
        <v>28494</v>
      </c>
      <c r="I128">
        <v>3</v>
      </c>
      <c r="J128">
        <v>3</v>
      </c>
      <c r="K128">
        <v>3</v>
      </c>
      <c r="L128" t="s">
        <v>21</v>
      </c>
      <c r="M128">
        <v>3</v>
      </c>
      <c r="N128" t="s">
        <v>21</v>
      </c>
      <c r="O128" s="2">
        <v>45495</v>
      </c>
    </row>
    <row r="129" spans="1:15" x14ac:dyDescent="0.35">
      <c r="A129" t="s">
        <v>166</v>
      </c>
      <c r="B129">
        <v>24</v>
      </c>
      <c r="C129" t="s">
        <v>16</v>
      </c>
      <c r="D129" t="s">
        <v>30</v>
      </c>
      <c r="E129" t="s">
        <v>40</v>
      </c>
      <c r="F129" t="s">
        <v>25</v>
      </c>
      <c r="G129" t="s">
        <v>26</v>
      </c>
      <c r="H129">
        <v>53986</v>
      </c>
      <c r="I129">
        <v>1</v>
      </c>
      <c r="J129">
        <v>1</v>
      </c>
      <c r="K129">
        <v>3</v>
      </c>
      <c r="L129" t="s">
        <v>21</v>
      </c>
      <c r="M129">
        <v>4</v>
      </c>
      <c r="N129" t="s">
        <v>21</v>
      </c>
      <c r="O129" s="2">
        <v>43315</v>
      </c>
    </row>
    <row r="130" spans="1:15" x14ac:dyDescent="0.35">
      <c r="A130" t="s">
        <v>167</v>
      </c>
      <c r="B130">
        <v>24</v>
      </c>
      <c r="C130" t="s">
        <v>16</v>
      </c>
      <c r="D130" t="s">
        <v>17</v>
      </c>
      <c r="E130" t="s">
        <v>46</v>
      </c>
      <c r="F130" t="s">
        <v>35</v>
      </c>
      <c r="G130" t="s">
        <v>37</v>
      </c>
      <c r="H130">
        <v>48932</v>
      </c>
      <c r="I130">
        <v>3</v>
      </c>
      <c r="J130">
        <v>3</v>
      </c>
      <c r="K130">
        <v>0</v>
      </c>
      <c r="L130" t="s">
        <v>27</v>
      </c>
      <c r="M130">
        <v>4</v>
      </c>
      <c r="N130" t="s">
        <v>21</v>
      </c>
      <c r="O130" s="2">
        <v>42270</v>
      </c>
    </row>
    <row r="131" spans="1:15" x14ac:dyDescent="0.35">
      <c r="A131" t="s">
        <v>168</v>
      </c>
      <c r="B131">
        <v>50</v>
      </c>
      <c r="C131" t="s">
        <v>16</v>
      </c>
      <c r="D131" t="s">
        <v>30</v>
      </c>
      <c r="E131" t="s">
        <v>31</v>
      </c>
      <c r="F131" t="s">
        <v>19</v>
      </c>
      <c r="G131" t="s">
        <v>20</v>
      </c>
      <c r="H131">
        <v>36047</v>
      </c>
      <c r="I131">
        <v>3</v>
      </c>
      <c r="J131">
        <v>4</v>
      </c>
      <c r="K131">
        <v>18</v>
      </c>
      <c r="L131" t="s">
        <v>27</v>
      </c>
      <c r="M131">
        <v>3</v>
      </c>
      <c r="N131" t="s">
        <v>21</v>
      </c>
      <c r="O131" s="2">
        <v>44288</v>
      </c>
    </row>
    <row r="132" spans="1:15" x14ac:dyDescent="0.35">
      <c r="A132" t="s">
        <v>169</v>
      </c>
      <c r="B132">
        <v>53</v>
      </c>
      <c r="C132" t="s">
        <v>29</v>
      </c>
      <c r="D132" t="s">
        <v>17</v>
      </c>
      <c r="E132" t="s">
        <v>18</v>
      </c>
      <c r="F132" t="s">
        <v>25</v>
      </c>
      <c r="G132" t="s">
        <v>20</v>
      </c>
      <c r="H132">
        <v>33435</v>
      </c>
      <c r="I132">
        <v>3</v>
      </c>
      <c r="J132">
        <v>3</v>
      </c>
      <c r="K132">
        <v>17</v>
      </c>
      <c r="L132" t="s">
        <v>21</v>
      </c>
      <c r="M132">
        <v>4</v>
      </c>
      <c r="N132" t="s">
        <v>21</v>
      </c>
      <c r="O132" s="2">
        <v>44344</v>
      </c>
    </row>
    <row r="133" spans="1:15" x14ac:dyDescent="0.35">
      <c r="A133" t="s">
        <v>170</v>
      </c>
      <c r="B133">
        <v>50</v>
      </c>
      <c r="C133" t="s">
        <v>29</v>
      </c>
      <c r="D133" t="s">
        <v>23</v>
      </c>
      <c r="E133" t="s">
        <v>24</v>
      </c>
      <c r="F133" t="s">
        <v>32</v>
      </c>
      <c r="G133" t="s">
        <v>20</v>
      </c>
      <c r="H133">
        <v>76341</v>
      </c>
      <c r="I133">
        <v>1</v>
      </c>
      <c r="J133">
        <v>3</v>
      </c>
      <c r="K133">
        <v>22</v>
      </c>
      <c r="L133" t="s">
        <v>27</v>
      </c>
      <c r="M133">
        <v>3</v>
      </c>
      <c r="N133" t="s">
        <v>21</v>
      </c>
      <c r="O133" s="2">
        <v>42536</v>
      </c>
    </row>
    <row r="134" spans="1:15" x14ac:dyDescent="0.35">
      <c r="A134" t="s">
        <v>171</v>
      </c>
      <c r="B134">
        <v>45</v>
      </c>
      <c r="C134" t="s">
        <v>29</v>
      </c>
      <c r="D134" t="s">
        <v>17</v>
      </c>
      <c r="E134" t="s">
        <v>18</v>
      </c>
      <c r="F134" t="s">
        <v>52</v>
      </c>
      <c r="G134" t="s">
        <v>26</v>
      </c>
      <c r="H134">
        <v>44342</v>
      </c>
      <c r="I134">
        <v>2</v>
      </c>
      <c r="J134">
        <v>2</v>
      </c>
      <c r="K134">
        <v>3</v>
      </c>
      <c r="L134" t="s">
        <v>27</v>
      </c>
      <c r="M134">
        <v>4</v>
      </c>
      <c r="N134" t="s">
        <v>27</v>
      </c>
      <c r="O134" s="2">
        <v>44961</v>
      </c>
    </row>
    <row r="135" spans="1:15" x14ac:dyDescent="0.35">
      <c r="A135" t="s">
        <v>172</v>
      </c>
      <c r="B135">
        <v>27</v>
      </c>
      <c r="C135" t="s">
        <v>16</v>
      </c>
      <c r="D135" t="s">
        <v>23</v>
      </c>
      <c r="E135" t="s">
        <v>42</v>
      </c>
      <c r="F135" t="s">
        <v>32</v>
      </c>
      <c r="G135" t="s">
        <v>26</v>
      </c>
      <c r="H135">
        <v>70187</v>
      </c>
      <c r="I135">
        <v>4</v>
      </c>
      <c r="J135">
        <v>4</v>
      </c>
      <c r="K135">
        <v>2</v>
      </c>
      <c r="L135" t="s">
        <v>27</v>
      </c>
      <c r="M135">
        <v>4</v>
      </c>
      <c r="N135" t="s">
        <v>21</v>
      </c>
      <c r="O135" s="2">
        <v>42609</v>
      </c>
    </row>
    <row r="136" spans="1:15" x14ac:dyDescent="0.35">
      <c r="A136" t="s">
        <v>173</v>
      </c>
      <c r="B136">
        <v>51</v>
      </c>
      <c r="C136" t="s">
        <v>16</v>
      </c>
      <c r="D136" t="s">
        <v>23</v>
      </c>
      <c r="E136" t="s">
        <v>55</v>
      </c>
      <c r="F136" t="s">
        <v>17</v>
      </c>
      <c r="G136" t="s">
        <v>20</v>
      </c>
      <c r="H136">
        <v>90260</v>
      </c>
      <c r="I136">
        <v>2</v>
      </c>
      <c r="J136">
        <v>2</v>
      </c>
      <c r="K136">
        <v>4</v>
      </c>
      <c r="L136" t="s">
        <v>21</v>
      </c>
      <c r="M136">
        <v>4</v>
      </c>
      <c r="N136" t="s">
        <v>21</v>
      </c>
      <c r="O136" s="2">
        <v>42458</v>
      </c>
    </row>
    <row r="137" spans="1:15" x14ac:dyDescent="0.35">
      <c r="A137" t="s">
        <v>174</v>
      </c>
      <c r="B137">
        <v>32</v>
      </c>
      <c r="C137" t="s">
        <v>29</v>
      </c>
      <c r="D137" t="s">
        <v>30</v>
      </c>
      <c r="E137" t="s">
        <v>57</v>
      </c>
      <c r="F137" t="s">
        <v>25</v>
      </c>
      <c r="G137" t="s">
        <v>26</v>
      </c>
      <c r="H137">
        <v>47552</v>
      </c>
      <c r="I137">
        <v>3</v>
      </c>
      <c r="J137">
        <v>3</v>
      </c>
      <c r="K137">
        <v>11</v>
      </c>
      <c r="L137" t="s">
        <v>21</v>
      </c>
      <c r="M137">
        <v>3</v>
      </c>
      <c r="N137" t="s">
        <v>21</v>
      </c>
      <c r="O137" s="2">
        <v>43613</v>
      </c>
    </row>
    <row r="138" spans="1:15" x14ac:dyDescent="0.35">
      <c r="A138" t="s">
        <v>175</v>
      </c>
      <c r="B138">
        <v>54</v>
      </c>
      <c r="C138" t="s">
        <v>16</v>
      </c>
      <c r="D138" t="s">
        <v>30</v>
      </c>
      <c r="E138" t="s">
        <v>34</v>
      </c>
      <c r="F138" t="s">
        <v>19</v>
      </c>
      <c r="G138" t="s">
        <v>20</v>
      </c>
      <c r="H138">
        <v>94106</v>
      </c>
      <c r="I138">
        <v>2</v>
      </c>
      <c r="J138">
        <v>2</v>
      </c>
      <c r="K138">
        <v>18</v>
      </c>
      <c r="L138" t="s">
        <v>27</v>
      </c>
      <c r="M138">
        <v>3</v>
      </c>
      <c r="N138" t="s">
        <v>21</v>
      </c>
      <c r="O138" s="2">
        <v>42342</v>
      </c>
    </row>
    <row r="139" spans="1:15" x14ac:dyDescent="0.35">
      <c r="A139" t="s">
        <v>176</v>
      </c>
      <c r="B139">
        <v>35</v>
      </c>
      <c r="C139" t="s">
        <v>29</v>
      </c>
      <c r="D139" t="s">
        <v>17</v>
      </c>
      <c r="E139" t="s">
        <v>46</v>
      </c>
      <c r="F139" t="s">
        <v>25</v>
      </c>
      <c r="G139" t="s">
        <v>26</v>
      </c>
      <c r="H139">
        <v>101753</v>
      </c>
      <c r="I139">
        <v>1</v>
      </c>
      <c r="J139">
        <v>4</v>
      </c>
      <c r="K139">
        <v>9</v>
      </c>
      <c r="L139" t="s">
        <v>21</v>
      </c>
      <c r="M139">
        <v>3</v>
      </c>
      <c r="N139" t="s">
        <v>21</v>
      </c>
      <c r="O139" s="2">
        <v>44479</v>
      </c>
    </row>
    <row r="140" spans="1:15" x14ac:dyDescent="0.35">
      <c r="A140" t="s">
        <v>177</v>
      </c>
      <c r="B140">
        <v>51</v>
      </c>
      <c r="C140" t="s">
        <v>16</v>
      </c>
      <c r="D140" t="s">
        <v>30</v>
      </c>
      <c r="E140" t="s">
        <v>31</v>
      </c>
      <c r="F140" t="s">
        <v>32</v>
      </c>
      <c r="G140" t="s">
        <v>26</v>
      </c>
      <c r="H140">
        <v>25852</v>
      </c>
      <c r="I140">
        <v>2</v>
      </c>
      <c r="J140">
        <v>4</v>
      </c>
      <c r="K140">
        <v>22</v>
      </c>
      <c r="L140" t="s">
        <v>27</v>
      </c>
      <c r="M140">
        <v>4</v>
      </c>
      <c r="N140" t="s">
        <v>21</v>
      </c>
      <c r="O140" s="2">
        <v>45809</v>
      </c>
    </row>
    <row r="141" spans="1:15" x14ac:dyDescent="0.35">
      <c r="A141" t="s">
        <v>178</v>
      </c>
      <c r="B141">
        <v>42</v>
      </c>
      <c r="C141" t="s">
        <v>16</v>
      </c>
      <c r="D141" t="s">
        <v>23</v>
      </c>
      <c r="E141" t="s">
        <v>55</v>
      </c>
      <c r="F141" t="s">
        <v>32</v>
      </c>
      <c r="G141" t="s">
        <v>37</v>
      </c>
      <c r="H141">
        <v>35139</v>
      </c>
      <c r="I141">
        <v>3</v>
      </c>
      <c r="J141">
        <v>1</v>
      </c>
      <c r="K141">
        <v>12</v>
      </c>
      <c r="L141" t="s">
        <v>21</v>
      </c>
      <c r="M141">
        <v>3</v>
      </c>
      <c r="N141" t="s">
        <v>21</v>
      </c>
      <c r="O141" s="2">
        <v>45826</v>
      </c>
    </row>
    <row r="142" spans="1:15" x14ac:dyDescent="0.35">
      <c r="A142" t="s">
        <v>179</v>
      </c>
      <c r="B142">
        <v>28</v>
      </c>
      <c r="C142" t="s">
        <v>16</v>
      </c>
      <c r="D142" t="s">
        <v>23</v>
      </c>
      <c r="E142" t="s">
        <v>24</v>
      </c>
      <c r="F142" t="s">
        <v>25</v>
      </c>
      <c r="G142" t="s">
        <v>37</v>
      </c>
      <c r="H142">
        <v>68351</v>
      </c>
      <c r="I142">
        <v>4</v>
      </c>
      <c r="J142">
        <v>2</v>
      </c>
      <c r="K142">
        <v>4</v>
      </c>
      <c r="L142" t="s">
        <v>27</v>
      </c>
      <c r="M142">
        <v>3</v>
      </c>
      <c r="N142" t="s">
        <v>21</v>
      </c>
      <c r="O142" s="2">
        <v>44566</v>
      </c>
    </row>
    <row r="143" spans="1:15" x14ac:dyDescent="0.35">
      <c r="A143" t="s">
        <v>180</v>
      </c>
      <c r="B143">
        <v>53</v>
      </c>
      <c r="C143" t="s">
        <v>29</v>
      </c>
      <c r="D143" t="s">
        <v>17</v>
      </c>
      <c r="E143" t="s">
        <v>46</v>
      </c>
      <c r="F143" t="s">
        <v>19</v>
      </c>
      <c r="G143" t="s">
        <v>20</v>
      </c>
      <c r="H143">
        <v>21037</v>
      </c>
      <c r="I143">
        <v>1</v>
      </c>
      <c r="J143">
        <v>4</v>
      </c>
      <c r="K143">
        <v>15</v>
      </c>
      <c r="L143" t="s">
        <v>21</v>
      </c>
      <c r="M143">
        <v>4</v>
      </c>
      <c r="N143" t="s">
        <v>21</v>
      </c>
      <c r="O143" s="2">
        <v>43767</v>
      </c>
    </row>
    <row r="144" spans="1:15" x14ac:dyDescent="0.35">
      <c r="A144" t="s">
        <v>181</v>
      </c>
      <c r="B144">
        <v>52</v>
      </c>
      <c r="C144" t="s">
        <v>29</v>
      </c>
      <c r="D144" t="s">
        <v>30</v>
      </c>
      <c r="E144" t="s">
        <v>40</v>
      </c>
      <c r="F144" t="s">
        <v>32</v>
      </c>
      <c r="G144" t="s">
        <v>20</v>
      </c>
      <c r="H144">
        <v>19071</v>
      </c>
      <c r="I144">
        <v>1</v>
      </c>
      <c r="J144">
        <v>4</v>
      </c>
      <c r="K144">
        <v>17</v>
      </c>
      <c r="L144" t="s">
        <v>21</v>
      </c>
      <c r="M144">
        <v>3</v>
      </c>
      <c r="N144" t="s">
        <v>21</v>
      </c>
      <c r="O144" s="2">
        <v>45001</v>
      </c>
    </row>
    <row r="145" spans="1:15" x14ac:dyDescent="0.35">
      <c r="A145" t="s">
        <v>182</v>
      </c>
      <c r="B145">
        <v>58</v>
      </c>
      <c r="C145" t="s">
        <v>29</v>
      </c>
      <c r="D145" t="s">
        <v>30</v>
      </c>
      <c r="E145" t="s">
        <v>34</v>
      </c>
      <c r="F145" t="s">
        <v>17</v>
      </c>
      <c r="G145" t="s">
        <v>26</v>
      </c>
      <c r="H145">
        <v>90512</v>
      </c>
      <c r="I145">
        <v>3</v>
      </c>
      <c r="J145">
        <v>1</v>
      </c>
      <c r="K145">
        <v>11</v>
      </c>
      <c r="L145" t="s">
        <v>27</v>
      </c>
      <c r="M145">
        <v>4</v>
      </c>
      <c r="N145" t="s">
        <v>21</v>
      </c>
      <c r="O145" s="2">
        <v>45694</v>
      </c>
    </row>
    <row r="146" spans="1:15" x14ac:dyDescent="0.35">
      <c r="A146" t="s">
        <v>183</v>
      </c>
      <c r="B146">
        <v>30</v>
      </c>
      <c r="C146" t="s">
        <v>29</v>
      </c>
      <c r="D146" t="s">
        <v>17</v>
      </c>
      <c r="E146" t="s">
        <v>18</v>
      </c>
      <c r="F146" t="s">
        <v>17</v>
      </c>
      <c r="G146" t="s">
        <v>20</v>
      </c>
      <c r="H146">
        <v>66915</v>
      </c>
      <c r="I146">
        <v>3</v>
      </c>
      <c r="J146">
        <v>3</v>
      </c>
      <c r="K146">
        <v>6</v>
      </c>
      <c r="L146" t="s">
        <v>27</v>
      </c>
      <c r="M146">
        <v>3</v>
      </c>
      <c r="N146" t="s">
        <v>21</v>
      </c>
      <c r="O146" s="2">
        <v>46175</v>
      </c>
    </row>
    <row r="147" spans="1:15" x14ac:dyDescent="0.35">
      <c r="A147" t="s">
        <v>184</v>
      </c>
      <c r="B147">
        <v>30</v>
      </c>
      <c r="C147" t="s">
        <v>16</v>
      </c>
      <c r="D147" t="s">
        <v>23</v>
      </c>
      <c r="E147" t="s">
        <v>24</v>
      </c>
      <c r="F147" t="s">
        <v>52</v>
      </c>
      <c r="G147" t="s">
        <v>26</v>
      </c>
      <c r="H147">
        <v>86069</v>
      </c>
      <c r="I147">
        <v>4</v>
      </c>
      <c r="J147">
        <v>2</v>
      </c>
      <c r="K147">
        <v>7</v>
      </c>
      <c r="L147" t="s">
        <v>21</v>
      </c>
      <c r="M147">
        <v>3</v>
      </c>
      <c r="N147" t="s">
        <v>21</v>
      </c>
      <c r="O147" s="2">
        <v>44614</v>
      </c>
    </row>
    <row r="148" spans="1:15" x14ac:dyDescent="0.35">
      <c r="A148" t="s">
        <v>185</v>
      </c>
      <c r="B148">
        <v>43</v>
      </c>
      <c r="C148" t="s">
        <v>16</v>
      </c>
      <c r="D148" t="s">
        <v>17</v>
      </c>
      <c r="E148" t="s">
        <v>46</v>
      </c>
      <c r="F148" t="s">
        <v>52</v>
      </c>
      <c r="G148" t="s">
        <v>26</v>
      </c>
      <c r="H148">
        <v>91783</v>
      </c>
      <c r="I148">
        <v>3</v>
      </c>
      <c r="J148">
        <v>4</v>
      </c>
      <c r="K148">
        <v>22</v>
      </c>
      <c r="L148" t="s">
        <v>21</v>
      </c>
      <c r="M148">
        <v>3</v>
      </c>
      <c r="N148" t="s">
        <v>21</v>
      </c>
      <c r="O148" s="2">
        <v>44718</v>
      </c>
    </row>
    <row r="149" spans="1:15" x14ac:dyDescent="0.35">
      <c r="A149" t="s">
        <v>186</v>
      </c>
      <c r="B149">
        <v>52</v>
      </c>
      <c r="C149" t="s">
        <v>16</v>
      </c>
      <c r="D149" t="s">
        <v>30</v>
      </c>
      <c r="E149" t="s">
        <v>34</v>
      </c>
      <c r="F149" t="s">
        <v>35</v>
      </c>
      <c r="G149" t="s">
        <v>20</v>
      </c>
      <c r="H149">
        <v>119733</v>
      </c>
      <c r="I149">
        <v>2</v>
      </c>
      <c r="J149">
        <v>1</v>
      </c>
      <c r="K149">
        <v>20</v>
      </c>
      <c r="L149" t="s">
        <v>21</v>
      </c>
      <c r="M149">
        <v>4</v>
      </c>
      <c r="N149" t="s">
        <v>21</v>
      </c>
      <c r="O149" s="2">
        <v>45119</v>
      </c>
    </row>
    <row r="150" spans="1:15" x14ac:dyDescent="0.35">
      <c r="A150" t="s">
        <v>187</v>
      </c>
      <c r="B150">
        <v>29</v>
      </c>
      <c r="C150" t="s">
        <v>29</v>
      </c>
      <c r="D150" t="s">
        <v>23</v>
      </c>
      <c r="E150" t="s">
        <v>42</v>
      </c>
      <c r="F150" t="s">
        <v>17</v>
      </c>
      <c r="G150" t="s">
        <v>26</v>
      </c>
      <c r="H150">
        <v>75807</v>
      </c>
      <c r="I150">
        <v>3</v>
      </c>
      <c r="J150">
        <v>4</v>
      </c>
      <c r="K150">
        <v>0</v>
      </c>
      <c r="L150" t="s">
        <v>27</v>
      </c>
      <c r="M150">
        <v>3</v>
      </c>
      <c r="N150" t="s">
        <v>21</v>
      </c>
      <c r="O150" s="2">
        <v>43675</v>
      </c>
    </row>
    <row r="151" spans="1:15" x14ac:dyDescent="0.35">
      <c r="A151" t="s">
        <v>188</v>
      </c>
      <c r="B151">
        <v>30</v>
      </c>
      <c r="C151" t="s">
        <v>29</v>
      </c>
      <c r="D151" t="s">
        <v>30</v>
      </c>
      <c r="E151" t="s">
        <v>34</v>
      </c>
      <c r="F151" t="s">
        <v>17</v>
      </c>
      <c r="G151" t="s">
        <v>37</v>
      </c>
      <c r="H151">
        <v>60604</v>
      </c>
      <c r="I151">
        <v>4</v>
      </c>
      <c r="J151">
        <v>4</v>
      </c>
      <c r="K151">
        <v>8</v>
      </c>
      <c r="L151" t="s">
        <v>27</v>
      </c>
      <c r="M151">
        <v>3</v>
      </c>
      <c r="N151" t="s">
        <v>21</v>
      </c>
      <c r="O151" s="2">
        <v>45770</v>
      </c>
    </row>
    <row r="152" spans="1:15" x14ac:dyDescent="0.35">
      <c r="A152" t="s">
        <v>189</v>
      </c>
      <c r="B152">
        <v>52</v>
      </c>
      <c r="C152" t="s">
        <v>16</v>
      </c>
      <c r="D152" t="s">
        <v>17</v>
      </c>
      <c r="E152" t="s">
        <v>46</v>
      </c>
      <c r="F152" t="s">
        <v>35</v>
      </c>
      <c r="G152" t="s">
        <v>26</v>
      </c>
      <c r="H152">
        <v>54569</v>
      </c>
      <c r="I152">
        <v>3</v>
      </c>
      <c r="J152">
        <v>2</v>
      </c>
      <c r="K152">
        <v>7</v>
      </c>
      <c r="L152" t="s">
        <v>27</v>
      </c>
      <c r="M152">
        <v>3</v>
      </c>
      <c r="N152" t="s">
        <v>21</v>
      </c>
      <c r="O152" s="2">
        <v>44372</v>
      </c>
    </row>
    <row r="153" spans="1:15" x14ac:dyDescent="0.35">
      <c r="A153" t="s">
        <v>190</v>
      </c>
      <c r="B153">
        <v>52</v>
      </c>
      <c r="C153" t="s">
        <v>29</v>
      </c>
      <c r="D153" t="s">
        <v>30</v>
      </c>
      <c r="E153" t="s">
        <v>31</v>
      </c>
      <c r="F153" t="s">
        <v>32</v>
      </c>
      <c r="G153" t="s">
        <v>20</v>
      </c>
      <c r="H153">
        <v>112589</v>
      </c>
      <c r="I153">
        <v>3</v>
      </c>
      <c r="J153">
        <v>3</v>
      </c>
      <c r="K153">
        <v>17</v>
      </c>
      <c r="L153" t="s">
        <v>21</v>
      </c>
      <c r="M153">
        <v>3</v>
      </c>
      <c r="N153" t="s">
        <v>21</v>
      </c>
      <c r="O153" s="2">
        <v>45115</v>
      </c>
    </row>
    <row r="154" spans="1:15" x14ac:dyDescent="0.35">
      <c r="A154" t="s">
        <v>191</v>
      </c>
      <c r="B154">
        <v>40</v>
      </c>
      <c r="C154" t="s">
        <v>29</v>
      </c>
      <c r="D154" t="s">
        <v>30</v>
      </c>
      <c r="E154" t="s">
        <v>34</v>
      </c>
      <c r="F154" t="s">
        <v>25</v>
      </c>
      <c r="G154" t="s">
        <v>20</v>
      </c>
      <c r="H154">
        <v>75983</v>
      </c>
      <c r="I154">
        <v>3</v>
      </c>
      <c r="J154">
        <v>4</v>
      </c>
      <c r="K154">
        <v>11</v>
      </c>
      <c r="L154" t="s">
        <v>27</v>
      </c>
      <c r="M154">
        <v>3</v>
      </c>
      <c r="N154" t="s">
        <v>21</v>
      </c>
      <c r="O154" s="2">
        <v>44226</v>
      </c>
    </row>
    <row r="155" spans="1:15" x14ac:dyDescent="0.35">
      <c r="A155" t="s">
        <v>192</v>
      </c>
      <c r="B155">
        <v>37</v>
      </c>
      <c r="C155" t="s">
        <v>29</v>
      </c>
      <c r="D155" t="s">
        <v>17</v>
      </c>
      <c r="E155" t="s">
        <v>18</v>
      </c>
      <c r="F155" t="s">
        <v>19</v>
      </c>
      <c r="G155" t="s">
        <v>26</v>
      </c>
      <c r="H155">
        <v>47579</v>
      </c>
      <c r="I155">
        <v>2</v>
      </c>
      <c r="J155">
        <v>1</v>
      </c>
      <c r="K155">
        <v>16</v>
      </c>
      <c r="L155" t="s">
        <v>27</v>
      </c>
      <c r="M155">
        <v>3</v>
      </c>
      <c r="N155" t="s">
        <v>21</v>
      </c>
      <c r="O155" s="2">
        <v>44710</v>
      </c>
    </row>
    <row r="156" spans="1:15" x14ac:dyDescent="0.35">
      <c r="A156" t="s">
        <v>193</v>
      </c>
      <c r="B156">
        <v>57</v>
      </c>
      <c r="C156" t="s">
        <v>29</v>
      </c>
      <c r="D156" t="s">
        <v>23</v>
      </c>
      <c r="E156" t="s">
        <v>24</v>
      </c>
      <c r="F156" t="s">
        <v>32</v>
      </c>
      <c r="G156" t="s">
        <v>26</v>
      </c>
      <c r="H156">
        <v>103575</v>
      </c>
      <c r="I156">
        <v>4</v>
      </c>
      <c r="J156">
        <v>4</v>
      </c>
      <c r="K156">
        <v>13</v>
      </c>
      <c r="L156" t="s">
        <v>27</v>
      </c>
      <c r="M156">
        <v>3</v>
      </c>
      <c r="N156" t="s">
        <v>21</v>
      </c>
      <c r="O156" s="2">
        <v>44358</v>
      </c>
    </row>
    <row r="157" spans="1:15" x14ac:dyDescent="0.35">
      <c r="A157" t="s">
        <v>194</v>
      </c>
      <c r="B157">
        <v>58</v>
      </c>
      <c r="C157" t="s">
        <v>29</v>
      </c>
      <c r="D157" t="s">
        <v>23</v>
      </c>
      <c r="E157" t="s">
        <v>24</v>
      </c>
      <c r="F157" t="s">
        <v>52</v>
      </c>
      <c r="G157" t="s">
        <v>20</v>
      </c>
      <c r="H157">
        <v>114821</v>
      </c>
      <c r="I157">
        <v>1</v>
      </c>
      <c r="J157">
        <v>2</v>
      </c>
      <c r="K157">
        <v>17</v>
      </c>
      <c r="L157" t="s">
        <v>27</v>
      </c>
      <c r="M157">
        <v>4</v>
      </c>
      <c r="N157" t="s">
        <v>27</v>
      </c>
      <c r="O157" s="2">
        <v>42302</v>
      </c>
    </row>
    <row r="158" spans="1:15" x14ac:dyDescent="0.35">
      <c r="A158" t="s">
        <v>195</v>
      </c>
      <c r="B158">
        <v>24</v>
      </c>
      <c r="C158" t="s">
        <v>16</v>
      </c>
      <c r="D158" t="s">
        <v>17</v>
      </c>
      <c r="E158" t="s">
        <v>46</v>
      </c>
      <c r="F158" t="s">
        <v>17</v>
      </c>
      <c r="G158" t="s">
        <v>37</v>
      </c>
      <c r="H158">
        <v>92443</v>
      </c>
      <c r="I158">
        <v>1</v>
      </c>
      <c r="J158">
        <v>3</v>
      </c>
      <c r="K158">
        <v>2</v>
      </c>
      <c r="L158" t="s">
        <v>27</v>
      </c>
      <c r="M158">
        <v>3</v>
      </c>
      <c r="N158" t="s">
        <v>21</v>
      </c>
      <c r="O158" s="2">
        <v>46051</v>
      </c>
    </row>
    <row r="159" spans="1:15" x14ac:dyDescent="0.35">
      <c r="A159" t="s">
        <v>196</v>
      </c>
      <c r="B159">
        <v>29</v>
      </c>
      <c r="C159" t="s">
        <v>29</v>
      </c>
      <c r="D159" t="s">
        <v>30</v>
      </c>
      <c r="E159" t="s">
        <v>57</v>
      </c>
      <c r="F159" t="s">
        <v>17</v>
      </c>
      <c r="G159" t="s">
        <v>26</v>
      </c>
      <c r="H159">
        <v>113829</v>
      </c>
      <c r="I159">
        <v>4</v>
      </c>
      <c r="J159">
        <v>3</v>
      </c>
      <c r="K159">
        <v>2</v>
      </c>
      <c r="L159" t="s">
        <v>21</v>
      </c>
      <c r="M159">
        <v>3</v>
      </c>
      <c r="N159" t="s">
        <v>27</v>
      </c>
      <c r="O159" s="2">
        <v>44766</v>
      </c>
    </row>
    <row r="160" spans="1:15" x14ac:dyDescent="0.35">
      <c r="A160" t="s">
        <v>197</v>
      </c>
      <c r="B160">
        <v>47</v>
      </c>
      <c r="C160" t="s">
        <v>29</v>
      </c>
      <c r="D160" t="s">
        <v>23</v>
      </c>
      <c r="E160" t="s">
        <v>24</v>
      </c>
      <c r="F160" t="s">
        <v>32</v>
      </c>
      <c r="G160" t="s">
        <v>20</v>
      </c>
      <c r="H160">
        <v>60982</v>
      </c>
      <c r="I160">
        <v>1</v>
      </c>
      <c r="J160">
        <v>4</v>
      </c>
      <c r="K160">
        <v>16</v>
      </c>
      <c r="L160" t="s">
        <v>21</v>
      </c>
      <c r="M160">
        <v>3</v>
      </c>
      <c r="N160" t="s">
        <v>21</v>
      </c>
      <c r="O160" s="2">
        <v>43156</v>
      </c>
    </row>
    <row r="161" spans="1:15" x14ac:dyDescent="0.35">
      <c r="A161" t="s">
        <v>198</v>
      </c>
      <c r="B161">
        <v>46</v>
      </c>
      <c r="C161" t="s">
        <v>29</v>
      </c>
      <c r="D161" t="s">
        <v>23</v>
      </c>
      <c r="E161" t="s">
        <v>55</v>
      </c>
      <c r="F161" t="s">
        <v>35</v>
      </c>
      <c r="G161" t="s">
        <v>37</v>
      </c>
      <c r="H161">
        <v>116796</v>
      </c>
      <c r="I161">
        <v>3</v>
      </c>
      <c r="J161">
        <v>3</v>
      </c>
      <c r="K161">
        <v>14</v>
      </c>
      <c r="L161" t="s">
        <v>27</v>
      </c>
      <c r="M161">
        <v>3</v>
      </c>
      <c r="N161" t="s">
        <v>21</v>
      </c>
      <c r="O161" s="2">
        <v>42098</v>
      </c>
    </row>
    <row r="162" spans="1:15" x14ac:dyDescent="0.35">
      <c r="A162" t="s">
        <v>199</v>
      </c>
      <c r="B162">
        <v>25</v>
      </c>
      <c r="C162" t="s">
        <v>29</v>
      </c>
      <c r="D162" t="s">
        <v>17</v>
      </c>
      <c r="E162" t="s">
        <v>18</v>
      </c>
      <c r="F162" t="s">
        <v>32</v>
      </c>
      <c r="G162" t="s">
        <v>26</v>
      </c>
      <c r="H162">
        <v>58213</v>
      </c>
      <c r="I162">
        <v>2</v>
      </c>
      <c r="J162">
        <v>4</v>
      </c>
      <c r="K162">
        <v>3</v>
      </c>
      <c r="L162" t="s">
        <v>27</v>
      </c>
      <c r="M162">
        <v>3</v>
      </c>
      <c r="N162" t="s">
        <v>21</v>
      </c>
      <c r="O162" s="2">
        <v>42966</v>
      </c>
    </row>
    <row r="163" spans="1:15" x14ac:dyDescent="0.35">
      <c r="A163" t="s">
        <v>200</v>
      </c>
      <c r="B163">
        <v>30</v>
      </c>
      <c r="C163" t="s">
        <v>16</v>
      </c>
      <c r="D163" t="s">
        <v>23</v>
      </c>
      <c r="E163" t="s">
        <v>24</v>
      </c>
      <c r="F163" t="s">
        <v>35</v>
      </c>
      <c r="G163" t="s">
        <v>26</v>
      </c>
      <c r="H163">
        <v>77634</v>
      </c>
      <c r="I163">
        <v>3</v>
      </c>
      <c r="J163">
        <v>4</v>
      </c>
      <c r="K163">
        <v>2</v>
      </c>
      <c r="L163" t="s">
        <v>21</v>
      </c>
      <c r="M163">
        <v>4</v>
      </c>
      <c r="N163" t="s">
        <v>21</v>
      </c>
      <c r="O163" s="2">
        <v>43794</v>
      </c>
    </row>
    <row r="164" spans="1:15" x14ac:dyDescent="0.35">
      <c r="A164" t="s">
        <v>201</v>
      </c>
      <c r="B164">
        <v>50</v>
      </c>
      <c r="C164" t="s">
        <v>16</v>
      </c>
      <c r="D164" t="s">
        <v>23</v>
      </c>
      <c r="E164" t="s">
        <v>42</v>
      </c>
      <c r="F164" t="s">
        <v>32</v>
      </c>
      <c r="G164" t="s">
        <v>26</v>
      </c>
      <c r="H164">
        <v>91946</v>
      </c>
      <c r="I164">
        <v>1</v>
      </c>
      <c r="J164">
        <v>1</v>
      </c>
      <c r="K164">
        <v>2</v>
      </c>
      <c r="L164" t="s">
        <v>21</v>
      </c>
      <c r="M164">
        <v>3</v>
      </c>
      <c r="N164" t="s">
        <v>21</v>
      </c>
      <c r="O164" s="2">
        <v>43232</v>
      </c>
    </row>
    <row r="165" spans="1:15" x14ac:dyDescent="0.35">
      <c r="A165" t="s">
        <v>202</v>
      </c>
      <c r="B165">
        <v>35</v>
      </c>
      <c r="C165" t="s">
        <v>29</v>
      </c>
      <c r="D165" t="s">
        <v>30</v>
      </c>
      <c r="E165" t="s">
        <v>34</v>
      </c>
      <c r="F165" t="s">
        <v>17</v>
      </c>
      <c r="G165" t="s">
        <v>20</v>
      </c>
      <c r="H165">
        <v>84895</v>
      </c>
      <c r="I165">
        <v>4</v>
      </c>
      <c r="J165">
        <v>1</v>
      </c>
      <c r="K165">
        <v>1</v>
      </c>
      <c r="L165" t="s">
        <v>21</v>
      </c>
      <c r="M165">
        <v>4</v>
      </c>
      <c r="N165" t="s">
        <v>21</v>
      </c>
      <c r="O165" s="2">
        <v>45408</v>
      </c>
    </row>
    <row r="166" spans="1:15" x14ac:dyDescent="0.35">
      <c r="A166" t="s">
        <v>203</v>
      </c>
      <c r="B166">
        <v>41</v>
      </c>
      <c r="C166" t="s">
        <v>29</v>
      </c>
      <c r="D166" t="s">
        <v>17</v>
      </c>
      <c r="E166" t="s">
        <v>46</v>
      </c>
      <c r="F166" t="s">
        <v>35</v>
      </c>
      <c r="G166" t="s">
        <v>20</v>
      </c>
      <c r="H166">
        <v>51352</v>
      </c>
      <c r="I166">
        <v>1</v>
      </c>
      <c r="J166">
        <v>2</v>
      </c>
      <c r="K166">
        <v>12</v>
      </c>
      <c r="L166" t="s">
        <v>27</v>
      </c>
      <c r="M166">
        <v>3</v>
      </c>
      <c r="N166" t="s">
        <v>27</v>
      </c>
      <c r="O166" s="2">
        <v>45475</v>
      </c>
    </row>
    <row r="167" spans="1:15" x14ac:dyDescent="0.35">
      <c r="A167" t="s">
        <v>204</v>
      </c>
      <c r="B167">
        <v>26</v>
      </c>
      <c r="C167" t="s">
        <v>29</v>
      </c>
      <c r="D167" t="s">
        <v>17</v>
      </c>
      <c r="E167" t="s">
        <v>18</v>
      </c>
      <c r="F167" t="s">
        <v>52</v>
      </c>
      <c r="G167" t="s">
        <v>37</v>
      </c>
      <c r="H167">
        <v>55629</v>
      </c>
      <c r="I167">
        <v>4</v>
      </c>
      <c r="J167">
        <v>2</v>
      </c>
      <c r="K167">
        <v>0</v>
      </c>
      <c r="L167" t="s">
        <v>21</v>
      </c>
      <c r="M167">
        <v>3</v>
      </c>
      <c r="N167" t="s">
        <v>21</v>
      </c>
      <c r="O167" s="2">
        <v>45448</v>
      </c>
    </row>
    <row r="168" spans="1:15" x14ac:dyDescent="0.35">
      <c r="A168" t="s">
        <v>205</v>
      </c>
      <c r="B168">
        <v>27</v>
      </c>
      <c r="C168" t="s">
        <v>16</v>
      </c>
      <c r="D168" t="s">
        <v>30</v>
      </c>
      <c r="E168" t="s">
        <v>40</v>
      </c>
      <c r="F168" t="s">
        <v>19</v>
      </c>
      <c r="G168" t="s">
        <v>20</v>
      </c>
      <c r="H168">
        <v>63582</v>
      </c>
      <c r="I168">
        <v>1</v>
      </c>
      <c r="J168">
        <v>2</v>
      </c>
      <c r="K168">
        <v>5</v>
      </c>
      <c r="L168" t="s">
        <v>27</v>
      </c>
      <c r="M168">
        <v>4</v>
      </c>
      <c r="N168" t="s">
        <v>21</v>
      </c>
      <c r="O168" s="2">
        <v>43048</v>
      </c>
    </row>
    <row r="169" spans="1:15" x14ac:dyDescent="0.35">
      <c r="A169" t="s">
        <v>206</v>
      </c>
      <c r="B169">
        <v>56</v>
      </c>
      <c r="C169" t="s">
        <v>29</v>
      </c>
      <c r="D169" t="s">
        <v>30</v>
      </c>
      <c r="E169" t="s">
        <v>40</v>
      </c>
      <c r="F169" t="s">
        <v>25</v>
      </c>
      <c r="G169" t="s">
        <v>26</v>
      </c>
      <c r="H169">
        <v>67712</v>
      </c>
      <c r="I169">
        <v>2</v>
      </c>
      <c r="J169">
        <v>2</v>
      </c>
      <c r="K169">
        <v>17</v>
      </c>
      <c r="L169" t="s">
        <v>21</v>
      </c>
      <c r="M169">
        <v>4</v>
      </c>
      <c r="N169" t="s">
        <v>21</v>
      </c>
      <c r="O169" s="2">
        <v>43275</v>
      </c>
    </row>
    <row r="170" spans="1:15" x14ac:dyDescent="0.35">
      <c r="A170" t="s">
        <v>207</v>
      </c>
      <c r="B170">
        <v>48</v>
      </c>
      <c r="C170" t="s">
        <v>16</v>
      </c>
      <c r="D170" t="s">
        <v>23</v>
      </c>
      <c r="E170" t="s">
        <v>24</v>
      </c>
      <c r="F170" t="s">
        <v>35</v>
      </c>
      <c r="G170" t="s">
        <v>20</v>
      </c>
      <c r="H170">
        <v>45011</v>
      </c>
      <c r="I170">
        <v>1</v>
      </c>
      <c r="J170">
        <v>1</v>
      </c>
      <c r="K170">
        <v>7</v>
      </c>
      <c r="L170" t="s">
        <v>27</v>
      </c>
      <c r="M170">
        <v>3</v>
      </c>
      <c r="N170" t="s">
        <v>21</v>
      </c>
      <c r="O170" s="2">
        <v>42403</v>
      </c>
    </row>
    <row r="171" spans="1:15" x14ac:dyDescent="0.35">
      <c r="A171" t="s">
        <v>208</v>
      </c>
      <c r="B171">
        <v>36</v>
      </c>
      <c r="C171" t="s">
        <v>16</v>
      </c>
      <c r="D171" t="s">
        <v>30</v>
      </c>
      <c r="E171" t="s">
        <v>40</v>
      </c>
      <c r="F171" t="s">
        <v>32</v>
      </c>
      <c r="G171" t="s">
        <v>20</v>
      </c>
      <c r="H171">
        <v>36367</v>
      </c>
      <c r="I171">
        <v>3</v>
      </c>
      <c r="J171">
        <v>2</v>
      </c>
      <c r="K171">
        <v>1</v>
      </c>
      <c r="L171" t="s">
        <v>27</v>
      </c>
      <c r="M171">
        <v>3</v>
      </c>
      <c r="N171" t="s">
        <v>21</v>
      </c>
      <c r="O171" s="2">
        <v>44631</v>
      </c>
    </row>
    <row r="172" spans="1:15" x14ac:dyDescent="0.35">
      <c r="A172" t="s">
        <v>209</v>
      </c>
      <c r="B172">
        <v>48</v>
      </c>
      <c r="C172" t="s">
        <v>29</v>
      </c>
      <c r="D172" t="s">
        <v>17</v>
      </c>
      <c r="E172" t="s">
        <v>18</v>
      </c>
      <c r="F172" t="s">
        <v>17</v>
      </c>
      <c r="G172" t="s">
        <v>37</v>
      </c>
      <c r="H172">
        <v>25989</v>
      </c>
      <c r="I172">
        <v>2</v>
      </c>
      <c r="J172">
        <v>4</v>
      </c>
      <c r="K172">
        <v>8</v>
      </c>
      <c r="L172" t="s">
        <v>21</v>
      </c>
      <c r="M172">
        <v>4</v>
      </c>
      <c r="N172" t="s">
        <v>27</v>
      </c>
      <c r="O172" s="2">
        <v>44826</v>
      </c>
    </row>
    <row r="173" spans="1:15" x14ac:dyDescent="0.35">
      <c r="A173" t="s">
        <v>210</v>
      </c>
      <c r="B173">
        <v>48</v>
      </c>
      <c r="C173" t="s">
        <v>16</v>
      </c>
      <c r="D173" t="s">
        <v>17</v>
      </c>
      <c r="E173" t="s">
        <v>46</v>
      </c>
      <c r="F173" t="s">
        <v>52</v>
      </c>
      <c r="G173" t="s">
        <v>20</v>
      </c>
      <c r="H173">
        <v>67343</v>
      </c>
      <c r="I173">
        <v>2</v>
      </c>
      <c r="J173">
        <v>4</v>
      </c>
      <c r="K173">
        <v>9</v>
      </c>
      <c r="L173" t="s">
        <v>27</v>
      </c>
      <c r="M173">
        <v>3</v>
      </c>
      <c r="N173" t="s">
        <v>27</v>
      </c>
      <c r="O173" s="2">
        <v>44468</v>
      </c>
    </row>
    <row r="174" spans="1:15" x14ac:dyDescent="0.35">
      <c r="A174" t="s">
        <v>211</v>
      </c>
      <c r="B174">
        <v>48</v>
      </c>
      <c r="C174" t="s">
        <v>29</v>
      </c>
      <c r="D174" t="s">
        <v>17</v>
      </c>
      <c r="E174" t="s">
        <v>46</v>
      </c>
      <c r="F174" t="s">
        <v>32</v>
      </c>
      <c r="G174" t="s">
        <v>20</v>
      </c>
      <c r="H174">
        <v>49831</v>
      </c>
      <c r="I174">
        <v>3</v>
      </c>
      <c r="J174">
        <v>2</v>
      </c>
      <c r="K174">
        <v>12</v>
      </c>
      <c r="L174" t="s">
        <v>27</v>
      </c>
      <c r="M174">
        <v>3</v>
      </c>
      <c r="N174" t="s">
        <v>21</v>
      </c>
      <c r="O174" s="2">
        <v>42652</v>
      </c>
    </row>
    <row r="175" spans="1:15" x14ac:dyDescent="0.35">
      <c r="A175" t="s">
        <v>212</v>
      </c>
      <c r="B175">
        <v>25</v>
      </c>
      <c r="C175" t="s">
        <v>29</v>
      </c>
      <c r="D175" t="s">
        <v>17</v>
      </c>
      <c r="E175" t="s">
        <v>18</v>
      </c>
      <c r="F175" t="s">
        <v>25</v>
      </c>
      <c r="G175" t="s">
        <v>37</v>
      </c>
      <c r="H175">
        <v>106299</v>
      </c>
      <c r="I175">
        <v>1</v>
      </c>
      <c r="J175">
        <v>1</v>
      </c>
      <c r="K175">
        <v>3</v>
      </c>
      <c r="L175" t="s">
        <v>21</v>
      </c>
      <c r="M175">
        <v>3</v>
      </c>
      <c r="N175" t="s">
        <v>21</v>
      </c>
      <c r="O175" s="2">
        <v>43782</v>
      </c>
    </row>
    <row r="176" spans="1:15" x14ac:dyDescent="0.35">
      <c r="A176" t="s">
        <v>213</v>
      </c>
      <c r="B176">
        <v>35</v>
      </c>
      <c r="C176" t="s">
        <v>29</v>
      </c>
      <c r="D176" t="s">
        <v>30</v>
      </c>
      <c r="E176" t="s">
        <v>34</v>
      </c>
      <c r="F176" t="s">
        <v>32</v>
      </c>
      <c r="G176" t="s">
        <v>37</v>
      </c>
      <c r="H176">
        <v>33376</v>
      </c>
      <c r="I176">
        <v>4</v>
      </c>
      <c r="J176">
        <v>2</v>
      </c>
      <c r="K176">
        <v>11</v>
      </c>
      <c r="L176" t="s">
        <v>27</v>
      </c>
      <c r="M176">
        <v>3</v>
      </c>
      <c r="N176" t="s">
        <v>21</v>
      </c>
      <c r="O176" s="2">
        <v>43965</v>
      </c>
    </row>
    <row r="177" spans="1:15" x14ac:dyDescent="0.35">
      <c r="A177" t="s">
        <v>214</v>
      </c>
      <c r="B177">
        <v>41</v>
      </c>
      <c r="C177" t="s">
        <v>29</v>
      </c>
      <c r="D177" t="s">
        <v>30</v>
      </c>
      <c r="E177" t="s">
        <v>31</v>
      </c>
      <c r="F177" t="s">
        <v>25</v>
      </c>
      <c r="G177" t="s">
        <v>37</v>
      </c>
      <c r="H177">
        <v>85215</v>
      </c>
      <c r="I177">
        <v>4</v>
      </c>
      <c r="J177">
        <v>4</v>
      </c>
      <c r="K177">
        <v>11</v>
      </c>
      <c r="L177" t="s">
        <v>21</v>
      </c>
      <c r="M177">
        <v>3</v>
      </c>
      <c r="N177" t="s">
        <v>21</v>
      </c>
      <c r="O177" s="2">
        <v>45851</v>
      </c>
    </row>
    <row r="178" spans="1:15" x14ac:dyDescent="0.35">
      <c r="A178" t="s">
        <v>215</v>
      </c>
      <c r="B178">
        <v>24</v>
      </c>
      <c r="C178" t="s">
        <v>29</v>
      </c>
      <c r="D178" t="s">
        <v>30</v>
      </c>
      <c r="E178" t="s">
        <v>40</v>
      </c>
      <c r="F178" t="s">
        <v>25</v>
      </c>
      <c r="G178" t="s">
        <v>37</v>
      </c>
      <c r="H178">
        <v>20125</v>
      </c>
      <c r="I178">
        <v>3</v>
      </c>
      <c r="J178">
        <v>4</v>
      </c>
      <c r="K178">
        <v>1</v>
      </c>
      <c r="L178" t="s">
        <v>27</v>
      </c>
      <c r="M178">
        <v>3</v>
      </c>
      <c r="N178" t="s">
        <v>27</v>
      </c>
      <c r="O178" s="2">
        <v>43612</v>
      </c>
    </row>
    <row r="179" spans="1:15" x14ac:dyDescent="0.35">
      <c r="A179" t="s">
        <v>216</v>
      </c>
      <c r="B179">
        <v>53</v>
      </c>
      <c r="C179" t="s">
        <v>16</v>
      </c>
      <c r="D179" t="s">
        <v>17</v>
      </c>
      <c r="E179" t="s">
        <v>18</v>
      </c>
      <c r="F179" t="s">
        <v>25</v>
      </c>
      <c r="G179" t="s">
        <v>26</v>
      </c>
      <c r="H179">
        <v>118055</v>
      </c>
      <c r="I179">
        <v>4</v>
      </c>
      <c r="J179">
        <v>4</v>
      </c>
      <c r="K179">
        <v>8</v>
      </c>
      <c r="L179" t="s">
        <v>21</v>
      </c>
      <c r="M179">
        <v>4</v>
      </c>
      <c r="N179" t="s">
        <v>21</v>
      </c>
      <c r="O179" s="2">
        <v>44890</v>
      </c>
    </row>
    <row r="180" spans="1:15" x14ac:dyDescent="0.35">
      <c r="A180" t="s">
        <v>217</v>
      </c>
      <c r="B180">
        <v>33</v>
      </c>
      <c r="C180" t="s">
        <v>16</v>
      </c>
      <c r="D180" t="s">
        <v>17</v>
      </c>
      <c r="E180" t="s">
        <v>46</v>
      </c>
      <c r="F180" t="s">
        <v>19</v>
      </c>
      <c r="G180" t="s">
        <v>26</v>
      </c>
      <c r="H180">
        <v>22433</v>
      </c>
      <c r="I180">
        <v>1</v>
      </c>
      <c r="J180">
        <v>1</v>
      </c>
      <c r="K180">
        <v>8</v>
      </c>
      <c r="L180" t="s">
        <v>27</v>
      </c>
      <c r="M180">
        <v>3</v>
      </c>
      <c r="N180" t="s">
        <v>21</v>
      </c>
      <c r="O180" s="2">
        <v>43131</v>
      </c>
    </row>
    <row r="181" spans="1:15" x14ac:dyDescent="0.35">
      <c r="A181" t="s">
        <v>218</v>
      </c>
      <c r="B181">
        <v>35</v>
      </c>
      <c r="C181" t="s">
        <v>16</v>
      </c>
      <c r="D181" t="s">
        <v>23</v>
      </c>
      <c r="E181" t="s">
        <v>24</v>
      </c>
      <c r="F181" t="s">
        <v>19</v>
      </c>
      <c r="G181" t="s">
        <v>26</v>
      </c>
      <c r="H181">
        <v>25923</v>
      </c>
      <c r="I181">
        <v>4</v>
      </c>
      <c r="J181">
        <v>4</v>
      </c>
      <c r="K181">
        <v>5</v>
      </c>
      <c r="L181" t="s">
        <v>21</v>
      </c>
      <c r="M181">
        <v>3</v>
      </c>
      <c r="N181" t="s">
        <v>27</v>
      </c>
      <c r="O181" s="2">
        <v>45374</v>
      </c>
    </row>
    <row r="182" spans="1:15" x14ac:dyDescent="0.35">
      <c r="A182" t="s">
        <v>219</v>
      </c>
      <c r="B182">
        <v>56</v>
      </c>
      <c r="C182" t="s">
        <v>16</v>
      </c>
      <c r="D182" t="s">
        <v>17</v>
      </c>
      <c r="E182" t="s">
        <v>46</v>
      </c>
      <c r="F182" t="s">
        <v>25</v>
      </c>
      <c r="G182" t="s">
        <v>26</v>
      </c>
      <c r="H182">
        <v>83826</v>
      </c>
      <c r="I182">
        <v>4</v>
      </c>
      <c r="J182">
        <v>2</v>
      </c>
      <c r="K182">
        <v>0</v>
      </c>
      <c r="L182" t="s">
        <v>21</v>
      </c>
      <c r="M182">
        <v>3</v>
      </c>
      <c r="N182" t="s">
        <v>27</v>
      </c>
      <c r="O182" s="2">
        <v>43224</v>
      </c>
    </row>
    <row r="183" spans="1:15" x14ac:dyDescent="0.35">
      <c r="A183" t="s">
        <v>220</v>
      </c>
      <c r="B183">
        <v>44</v>
      </c>
      <c r="C183" t="s">
        <v>16</v>
      </c>
      <c r="D183" t="s">
        <v>17</v>
      </c>
      <c r="E183" t="s">
        <v>46</v>
      </c>
      <c r="F183" t="s">
        <v>32</v>
      </c>
      <c r="G183" t="s">
        <v>26</v>
      </c>
      <c r="H183">
        <v>28357</v>
      </c>
      <c r="I183">
        <v>3</v>
      </c>
      <c r="J183">
        <v>4</v>
      </c>
      <c r="K183">
        <v>12</v>
      </c>
      <c r="L183" t="s">
        <v>21</v>
      </c>
      <c r="M183">
        <v>4</v>
      </c>
      <c r="N183" t="s">
        <v>21</v>
      </c>
      <c r="O183" s="2">
        <v>43997</v>
      </c>
    </row>
    <row r="184" spans="1:15" x14ac:dyDescent="0.35">
      <c r="A184" t="s">
        <v>221</v>
      </c>
      <c r="B184">
        <v>24</v>
      </c>
      <c r="C184" t="s">
        <v>16</v>
      </c>
      <c r="D184" t="s">
        <v>23</v>
      </c>
      <c r="E184" t="s">
        <v>42</v>
      </c>
      <c r="F184" t="s">
        <v>19</v>
      </c>
      <c r="G184" t="s">
        <v>37</v>
      </c>
      <c r="H184">
        <v>67710</v>
      </c>
      <c r="I184">
        <v>4</v>
      </c>
      <c r="J184">
        <v>4</v>
      </c>
      <c r="K184">
        <v>3</v>
      </c>
      <c r="L184" t="s">
        <v>27</v>
      </c>
      <c r="M184">
        <v>3</v>
      </c>
      <c r="N184" t="s">
        <v>21</v>
      </c>
      <c r="O184" s="2">
        <v>42082</v>
      </c>
    </row>
    <row r="185" spans="1:15" x14ac:dyDescent="0.35">
      <c r="A185" t="s">
        <v>222</v>
      </c>
      <c r="B185">
        <v>58</v>
      </c>
      <c r="C185" t="s">
        <v>16</v>
      </c>
      <c r="D185" t="s">
        <v>30</v>
      </c>
      <c r="E185" t="s">
        <v>31</v>
      </c>
      <c r="F185" t="s">
        <v>35</v>
      </c>
      <c r="G185" t="s">
        <v>37</v>
      </c>
      <c r="H185">
        <v>23577</v>
      </c>
      <c r="I185">
        <v>2</v>
      </c>
      <c r="J185">
        <v>2</v>
      </c>
      <c r="K185">
        <v>16</v>
      </c>
      <c r="L185" t="s">
        <v>27</v>
      </c>
      <c r="M185">
        <v>4</v>
      </c>
      <c r="N185" t="s">
        <v>21</v>
      </c>
      <c r="O185" s="2">
        <v>42386</v>
      </c>
    </row>
    <row r="186" spans="1:15" x14ac:dyDescent="0.35">
      <c r="A186" t="s">
        <v>223</v>
      </c>
      <c r="B186">
        <v>33</v>
      </c>
      <c r="C186" t="s">
        <v>16</v>
      </c>
      <c r="D186" t="s">
        <v>17</v>
      </c>
      <c r="E186" t="s">
        <v>18</v>
      </c>
      <c r="F186" t="s">
        <v>17</v>
      </c>
      <c r="G186" t="s">
        <v>37</v>
      </c>
      <c r="H186">
        <v>45152</v>
      </c>
      <c r="I186">
        <v>2</v>
      </c>
      <c r="J186">
        <v>4</v>
      </c>
      <c r="K186">
        <v>0</v>
      </c>
      <c r="L186" t="s">
        <v>21</v>
      </c>
      <c r="M186">
        <v>3</v>
      </c>
      <c r="N186" t="s">
        <v>21</v>
      </c>
      <c r="O186" s="2">
        <v>43335</v>
      </c>
    </row>
    <row r="187" spans="1:15" x14ac:dyDescent="0.35">
      <c r="A187" t="s">
        <v>224</v>
      </c>
      <c r="B187">
        <v>46</v>
      </c>
      <c r="C187" t="s">
        <v>16</v>
      </c>
      <c r="D187" t="s">
        <v>17</v>
      </c>
      <c r="E187" t="s">
        <v>46</v>
      </c>
      <c r="F187" t="s">
        <v>19</v>
      </c>
      <c r="G187" t="s">
        <v>37</v>
      </c>
      <c r="H187">
        <v>108349</v>
      </c>
      <c r="I187">
        <v>1</v>
      </c>
      <c r="J187">
        <v>3</v>
      </c>
      <c r="K187">
        <v>25</v>
      </c>
      <c r="L187" t="s">
        <v>27</v>
      </c>
      <c r="M187">
        <v>3</v>
      </c>
      <c r="N187" t="s">
        <v>27</v>
      </c>
      <c r="O187" s="2">
        <v>45585</v>
      </c>
    </row>
    <row r="188" spans="1:15" x14ac:dyDescent="0.35">
      <c r="A188" t="s">
        <v>225</v>
      </c>
      <c r="B188">
        <v>42</v>
      </c>
      <c r="C188" t="s">
        <v>29</v>
      </c>
      <c r="D188" t="s">
        <v>17</v>
      </c>
      <c r="E188" t="s">
        <v>46</v>
      </c>
      <c r="F188" t="s">
        <v>25</v>
      </c>
      <c r="G188" t="s">
        <v>26</v>
      </c>
      <c r="H188">
        <v>53825</v>
      </c>
      <c r="I188">
        <v>4</v>
      </c>
      <c r="J188">
        <v>4</v>
      </c>
      <c r="K188">
        <v>20</v>
      </c>
      <c r="L188" t="s">
        <v>27</v>
      </c>
      <c r="M188">
        <v>3</v>
      </c>
      <c r="N188" t="s">
        <v>21</v>
      </c>
      <c r="O188" s="2">
        <v>45080</v>
      </c>
    </row>
    <row r="189" spans="1:15" x14ac:dyDescent="0.35">
      <c r="A189" t="s">
        <v>226</v>
      </c>
      <c r="B189">
        <v>27</v>
      </c>
      <c r="C189" t="s">
        <v>16</v>
      </c>
      <c r="D189" t="s">
        <v>17</v>
      </c>
      <c r="E189" t="s">
        <v>46</v>
      </c>
      <c r="F189" t="s">
        <v>35</v>
      </c>
      <c r="G189" t="s">
        <v>37</v>
      </c>
      <c r="H189">
        <v>50302</v>
      </c>
      <c r="I189">
        <v>1</v>
      </c>
      <c r="J189">
        <v>1</v>
      </c>
      <c r="K189">
        <v>6</v>
      </c>
      <c r="L189" t="s">
        <v>21</v>
      </c>
      <c r="M189">
        <v>3</v>
      </c>
      <c r="N189" t="s">
        <v>27</v>
      </c>
      <c r="O189" s="2">
        <v>45117</v>
      </c>
    </row>
    <row r="190" spans="1:15" x14ac:dyDescent="0.35">
      <c r="A190" t="s">
        <v>227</v>
      </c>
      <c r="B190">
        <v>28</v>
      </c>
      <c r="C190" t="s">
        <v>16</v>
      </c>
      <c r="D190" t="s">
        <v>30</v>
      </c>
      <c r="E190" t="s">
        <v>31</v>
      </c>
      <c r="F190" t="s">
        <v>25</v>
      </c>
      <c r="G190" t="s">
        <v>37</v>
      </c>
      <c r="H190">
        <v>58405</v>
      </c>
      <c r="I190">
        <v>4</v>
      </c>
      <c r="J190">
        <v>3</v>
      </c>
      <c r="K190">
        <v>0</v>
      </c>
      <c r="L190" t="s">
        <v>27</v>
      </c>
      <c r="M190">
        <v>3</v>
      </c>
      <c r="N190" t="s">
        <v>27</v>
      </c>
      <c r="O190" s="2">
        <v>43090</v>
      </c>
    </row>
    <row r="191" spans="1:15" x14ac:dyDescent="0.35">
      <c r="A191" t="s">
        <v>228</v>
      </c>
      <c r="B191">
        <v>28</v>
      </c>
      <c r="C191" t="s">
        <v>29</v>
      </c>
      <c r="D191" t="s">
        <v>30</v>
      </c>
      <c r="E191" t="s">
        <v>40</v>
      </c>
      <c r="F191" t="s">
        <v>52</v>
      </c>
      <c r="G191" t="s">
        <v>20</v>
      </c>
      <c r="H191">
        <v>64388</v>
      </c>
      <c r="I191">
        <v>1</v>
      </c>
      <c r="J191">
        <v>3</v>
      </c>
      <c r="K191">
        <v>1</v>
      </c>
      <c r="L191" t="s">
        <v>27</v>
      </c>
      <c r="M191">
        <v>4</v>
      </c>
      <c r="N191" t="s">
        <v>27</v>
      </c>
      <c r="O191" s="2">
        <v>44395</v>
      </c>
    </row>
    <row r="192" spans="1:15" x14ac:dyDescent="0.35">
      <c r="A192" t="s">
        <v>229</v>
      </c>
      <c r="B192">
        <v>58</v>
      </c>
      <c r="C192" t="s">
        <v>29</v>
      </c>
      <c r="D192" t="s">
        <v>17</v>
      </c>
      <c r="E192" t="s">
        <v>18</v>
      </c>
      <c r="F192" t="s">
        <v>25</v>
      </c>
      <c r="G192" t="s">
        <v>20</v>
      </c>
      <c r="H192">
        <v>67903</v>
      </c>
      <c r="I192">
        <v>2</v>
      </c>
      <c r="J192">
        <v>2</v>
      </c>
      <c r="K192">
        <v>21</v>
      </c>
      <c r="L192" t="s">
        <v>27</v>
      </c>
      <c r="M192">
        <v>3</v>
      </c>
      <c r="N192" t="s">
        <v>21</v>
      </c>
      <c r="O192" s="2">
        <v>44203</v>
      </c>
    </row>
    <row r="193" spans="1:15" x14ac:dyDescent="0.35">
      <c r="A193" t="s">
        <v>230</v>
      </c>
      <c r="B193">
        <v>39</v>
      </c>
      <c r="C193" t="s">
        <v>16</v>
      </c>
      <c r="D193" t="s">
        <v>23</v>
      </c>
      <c r="E193" t="s">
        <v>55</v>
      </c>
      <c r="F193" t="s">
        <v>52</v>
      </c>
      <c r="G193" t="s">
        <v>20</v>
      </c>
      <c r="H193">
        <v>81469</v>
      </c>
      <c r="I193">
        <v>1</v>
      </c>
      <c r="J193">
        <v>3</v>
      </c>
      <c r="K193">
        <v>9</v>
      </c>
      <c r="L193" t="s">
        <v>21</v>
      </c>
      <c r="M193">
        <v>3</v>
      </c>
      <c r="N193" t="s">
        <v>21</v>
      </c>
      <c r="O193" s="2">
        <v>46066</v>
      </c>
    </row>
    <row r="194" spans="1:15" x14ac:dyDescent="0.35">
      <c r="A194" t="s">
        <v>231</v>
      </c>
      <c r="B194">
        <v>22</v>
      </c>
      <c r="C194" t="s">
        <v>16</v>
      </c>
      <c r="D194" t="s">
        <v>23</v>
      </c>
      <c r="E194" t="s">
        <v>55</v>
      </c>
      <c r="F194" t="s">
        <v>32</v>
      </c>
      <c r="G194" t="s">
        <v>37</v>
      </c>
      <c r="H194">
        <v>99289</v>
      </c>
      <c r="I194">
        <v>4</v>
      </c>
      <c r="J194">
        <v>3</v>
      </c>
      <c r="K194">
        <v>1</v>
      </c>
      <c r="L194" t="s">
        <v>21</v>
      </c>
      <c r="M194">
        <v>4</v>
      </c>
      <c r="N194" t="s">
        <v>21</v>
      </c>
      <c r="O194" s="2">
        <v>45532</v>
      </c>
    </row>
    <row r="195" spans="1:15" x14ac:dyDescent="0.35">
      <c r="A195" t="s">
        <v>232</v>
      </c>
      <c r="B195">
        <v>52</v>
      </c>
      <c r="C195" t="s">
        <v>29</v>
      </c>
      <c r="D195" t="s">
        <v>17</v>
      </c>
      <c r="E195" t="s">
        <v>18</v>
      </c>
      <c r="F195" t="s">
        <v>52</v>
      </c>
      <c r="G195" t="s">
        <v>37</v>
      </c>
      <c r="H195">
        <v>70198</v>
      </c>
      <c r="I195">
        <v>3</v>
      </c>
      <c r="J195">
        <v>3</v>
      </c>
      <c r="K195">
        <v>5</v>
      </c>
      <c r="L195" t="s">
        <v>21</v>
      </c>
      <c r="M195">
        <v>4</v>
      </c>
      <c r="N195" t="s">
        <v>21</v>
      </c>
      <c r="O195" s="2">
        <v>43990</v>
      </c>
    </row>
    <row r="196" spans="1:15" x14ac:dyDescent="0.35">
      <c r="A196" t="s">
        <v>233</v>
      </c>
      <c r="B196">
        <v>29</v>
      </c>
      <c r="C196" t="s">
        <v>16</v>
      </c>
      <c r="D196" t="s">
        <v>30</v>
      </c>
      <c r="E196" t="s">
        <v>31</v>
      </c>
      <c r="F196" t="s">
        <v>52</v>
      </c>
      <c r="G196" t="s">
        <v>26</v>
      </c>
      <c r="H196">
        <v>41583</v>
      </c>
      <c r="I196">
        <v>1</v>
      </c>
      <c r="J196">
        <v>4</v>
      </c>
      <c r="K196">
        <v>8</v>
      </c>
      <c r="L196" t="s">
        <v>27</v>
      </c>
      <c r="M196">
        <v>3</v>
      </c>
      <c r="N196" t="s">
        <v>21</v>
      </c>
      <c r="O196" s="2">
        <v>44391</v>
      </c>
    </row>
    <row r="197" spans="1:15" x14ac:dyDescent="0.35">
      <c r="A197" t="s">
        <v>234</v>
      </c>
      <c r="B197">
        <v>41</v>
      </c>
      <c r="C197" t="s">
        <v>29</v>
      </c>
      <c r="D197" t="s">
        <v>30</v>
      </c>
      <c r="E197" t="s">
        <v>57</v>
      </c>
      <c r="F197" t="s">
        <v>17</v>
      </c>
      <c r="G197" t="s">
        <v>37</v>
      </c>
      <c r="H197">
        <v>104332</v>
      </c>
      <c r="I197">
        <v>2</v>
      </c>
      <c r="J197">
        <v>4</v>
      </c>
      <c r="K197">
        <v>8</v>
      </c>
      <c r="L197" t="s">
        <v>27</v>
      </c>
      <c r="M197">
        <v>4</v>
      </c>
      <c r="N197" t="s">
        <v>27</v>
      </c>
      <c r="O197" s="2">
        <v>45683</v>
      </c>
    </row>
    <row r="198" spans="1:15" x14ac:dyDescent="0.35">
      <c r="A198" t="s">
        <v>235</v>
      </c>
      <c r="B198">
        <v>56</v>
      </c>
      <c r="C198" t="s">
        <v>16</v>
      </c>
      <c r="D198" t="s">
        <v>17</v>
      </c>
      <c r="E198" t="s">
        <v>46</v>
      </c>
      <c r="F198" t="s">
        <v>35</v>
      </c>
      <c r="G198" t="s">
        <v>26</v>
      </c>
      <c r="H198">
        <v>65124</v>
      </c>
      <c r="I198">
        <v>1</v>
      </c>
      <c r="J198">
        <v>1</v>
      </c>
      <c r="K198">
        <v>25</v>
      </c>
      <c r="L198" t="s">
        <v>27</v>
      </c>
      <c r="M198">
        <v>3</v>
      </c>
      <c r="N198" t="s">
        <v>21</v>
      </c>
      <c r="O198" s="2">
        <v>44913</v>
      </c>
    </row>
    <row r="199" spans="1:15" x14ac:dyDescent="0.35">
      <c r="A199" t="s">
        <v>236</v>
      </c>
      <c r="B199">
        <v>47</v>
      </c>
      <c r="C199" t="s">
        <v>16</v>
      </c>
      <c r="D199" t="s">
        <v>23</v>
      </c>
      <c r="E199" t="s">
        <v>42</v>
      </c>
      <c r="F199" t="s">
        <v>52</v>
      </c>
      <c r="G199" t="s">
        <v>37</v>
      </c>
      <c r="H199">
        <v>74420</v>
      </c>
      <c r="I199">
        <v>1</v>
      </c>
      <c r="J199">
        <v>1</v>
      </c>
      <c r="K199">
        <v>25</v>
      </c>
      <c r="L199" t="s">
        <v>21</v>
      </c>
      <c r="M199">
        <v>3</v>
      </c>
      <c r="N199" t="s">
        <v>21</v>
      </c>
      <c r="O199" s="2">
        <v>43823</v>
      </c>
    </row>
    <row r="200" spans="1:15" x14ac:dyDescent="0.35">
      <c r="A200" t="s">
        <v>237</v>
      </c>
      <c r="B200">
        <v>54</v>
      </c>
      <c r="C200" t="s">
        <v>16</v>
      </c>
      <c r="D200" t="s">
        <v>30</v>
      </c>
      <c r="E200" t="s">
        <v>40</v>
      </c>
      <c r="F200" t="s">
        <v>35</v>
      </c>
      <c r="G200" t="s">
        <v>20</v>
      </c>
      <c r="H200">
        <v>21219</v>
      </c>
      <c r="I200">
        <v>4</v>
      </c>
      <c r="J200">
        <v>1</v>
      </c>
      <c r="K200">
        <v>11</v>
      </c>
      <c r="L200" t="s">
        <v>27</v>
      </c>
      <c r="M200">
        <v>3</v>
      </c>
      <c r="N200" t="s">
        <v>21</v>
      </c>
      <c r="O200" s="2">
        <v>42708</v>
      </c>
    </row>
    <row r="201" spans="1:15" x14ac:dyDescent="0.35">
      <c r="A201" t="s">
        <v>238</v>
      </c>
      <c r="B201">
        <v>43</v>
      </c>
      <c r="C201" t="s">
        <v>29</v>
      </c>
      <c r="D201" t="s">
        <v>30</v>
      </c>
      <c r="E201" t="s">
        <v>31</v>
      </c>
      <c r="F201" t="s">
        <v>32</v>
      </c>
      <c r="G201" t="s">
        <v>20</v>
      </c>
      <c r="H201">
        <v>86303</v>
      </c>
      <c r="I201">
        <v>4</v>
      </c>
      <c r="J201">
        <v>3</v>
      </c>
      <c r="K201">
        <v>6</v>
      </c>
      <c r="L201" t="s">
        <v>21</v>
      </c>
      <c r="M201">
        <v>4</v>
      </c>
      <c r="N201" t="s">
        <v>21</v>
      </c>
      <c r="O201" s="2">
        <v>45594</v>
      </c>
    </row>
    <row r="202" spans="1:15" x14ac:dyDescent="0.35">
      <c r="A202" t="s">
        <v>239</v>
      </c>
      <c r="B202">
        <v>29</v>
      </c>
      <c r="C202" t="s">
        <v>16</v>
      </c>
      <c r="D202" t="s">
        <v>30</v>
      </c>
      <c r="E202" t="s">
        <v>34</v>
      </c>
      <c r="F202" t="s">
        <v>32</v>
      </c>
      <c r="G202" t="s">
        <v>26</v>
      </c>
      <c r="H202">
        <v>102930</v>
      </c>
      <c r="I202">
        <v>1</v>
      </c>
      <c r="J202">
        <v>2</v>
      </c>
      <c r="K202">
        <v>5</v>
      </c>
      <c r="L202" t="s">
        <v>27</v>
      </c>
      <c r="M202">
        <v>3</v>
      </c>
      <c r="N202" t="s">
        <v>21</v>
      </c>
      <c r="O202" s="2">
        <v>43434</v>
      </c>
    </row>
    <row r="203" spans="1:15" x14ac:dyDescent="0.35">
      <c r="A203" t="s">
        <v>240</v>
      </c>
      <c r="B203">
        <v>36</v>
      </c>
      <c r="C203" t="s">
        <v>29</v>
      </c>
      <c r="D203" t="s">
        <v>30</v>
      </c>
      <c r="E203" t="s">
        <v>40</v>
      </c>
      <c r="F203" t="s">
        <v>17</v>
      </c>
      <c r="G203" t="s">
        <v>37</v>
      </c>
      <c r="H203">
        <v>42430</v>
      </c>
      <c r="I203">
        <v>4</v>
      </c>
      <c r="J203">
        <v>4</v>
      </c>
      <c r="K203">
        <v>5</v>
      </c>
      <c r="L203" t="s">
        <v>21</v>
      </c>
      <c r="M203">
        <v>3</v>
      </c>
      <c r="N203" t="s">
        <v>21</v>
      </c>
      <c r="O203" s="2">
        <v>43621</v>
      </c>
    </row>
    <row r="204" spans="1:15" x14ac:dyDescent="0.35">
      <c r="A204" t="s">
        <v>241</v>
      </c>
      <c r="B204">
        <v>35</v>
      </c>
      <c r="C204" t="s">
        <v>16</v>
      </c>
      <c r="D204" t="s">
        <v>30</v>
      </c>
      <c r="E204" t="s">
        <v>34</v>
      </c>
      <c r="F204" t="s">
        <v>52</v>
      </c>
      <c r="G204" t="s">
        <v>20</v>
      </c>
      <c r="H204">
        <v>116608</v>
      </c>
      <c r="I204">
        <v>1</v>
      </c>
      <c r="J204">
        <v>1</v>
      </c>
      <c r="K204">
        <v>4</v>
      </c>
      <c r="L204" t="s">
        <v>27</v>
      </c>
      <c r="M204">
        <v>3</v>
      </c>
      <c r="N204" t="s">
        <v>21</v>
      </c>
      <c r="O204" s="2">
        <v>44675</v>
      </c>
    </row>
    <row r="205" spans="1:15" x14ac:dyDescent="0.35">
      <c r="A205" t="s">
        <v>242</v>
      </c>
      <c r="B205">
        <v>55</v>
      </c>
      <c r="C205" t="s">
        <v>16</v>
      </c>
      <c r="D205" t="s">
        <v>30</v>
      </c>
      <c r="E205" t="s">
        <v>40</v>
      </c>
      <c r="F205" t="s">
        <v>35</v>
      </c>
      <c r="G205" t="s">
        <v>26</v>
      </c>
      <c r="H205">
        <v>68939</v>
      </c>
      <c r="I205">
        <v>4</v>
      </c>
      <c r="J205">
        <v>1</v>
      </c>
      <c r="K205">
        <v>19</v>
      </c>
      <c r="L205" t="s">
        <v>21</v>
      </c>
      <c r="M205">
        <v>3</v>
      </c>
      <c r="N205" t="s">
        <v>21</v>
      </c>
      <c r="O205" s="2">
        <v>45755</v>
      </c>
    </row>
    <row r="206" spans="1:15" x14ac:dyDescent="0.35">
      <c r="A206" t="s">
        <v>243</v>
      </c>
      <c r="B206">
        <v>30</v>
      </c>
      <c r="C206" t="s">
        <v>29</v>
      </c>
      <c r="D206" t="s">
        <v>30</v>
      </c>
      <c r="E206" t="s">
        <v>34</v>
      </c>
      <c r="F206" t="s">
        <v>52</v>
      </c>
      <c r="G206" t="s">
        <v>26</v>
      </c>
      <c r="H206">
        <v>49270</v>
      </c>
      <c r="I206">
        <v>3</v>
      </c>
      <c r="J206">
        <v>1</v>
      </c>
      <c r="K206">
        <v>1</v>
      </c>
      <c r="L206" t="s">
        <v>21</v>
      </c>
      <c r="M206">
        <v>3</v>
      </c>
      <c r="N206" t="s">
        <v>21</v>
      </c>
      <c r="O206" s="2">
        <v>43163</v>
      </c>
    </row>
    <row r="207" spans="1:15" x14ac:dyDescent="0.35">
      <c r="A207" t="s">
        <v>244</v>
      </c>
      <c r="B207">
        <v>46</v>
      </c>
      <c r="C207" t="s">
        <v>16</v>
      </c>
      <c r="D207" t="s">
        <v>23</v>
      </c>
      <c r="E207" t="s">
        <v>42</v>
      </c>
      <c r="F207" t="s">
        <v>32</v>
      </c>
      <c r="G207" t="s">
        <v>37</v>
      </c>
      <c r="H207">
        <v>81788</v>
      </c>
      <c r="I207">
        <v>2</v>
      </c>
      <c r="J207">
        <v>2</v>
      </c>
      <c r="K207">
        <v>5</v>
      </c>
      <c r="L207" t="s">
        <v>21</v>
      </c>
      <c r="M207">
        <v>4</v>
      </c>
      <c r="N207" t="s">
        <v>21</v>
      </c>
      <c r="O207" s="2">
        <v>43154</v>
      </c>
    </row>
    <row r="208" spans="1:15" x14ac:dyDescent="0.35">
      <c r="A208" t="s">
        <v>245</v>
      </c>
      <c r="B208">
        <v>44</v>
      </c>
      <c r="C208" t="s">
        <v>29</v>
      </c>
      <c r="D208" t="s">
        <v>17</v>
      </c>
      <c r="E208" t="s">
        <v>18</v>
      </c>
      <c r="F208" t="s">
        <v>35</v>
      </c>
      <c r="G208" t="s">
        <v>37</v>
      </c>
      <c r="H208">
        <v>35895</v>
      </c>
      <c r="I208">
        <v>2</v>
      </c>
      <c r="J208">
        <v>4</v>
      </c>
      <c r="K208">
        <v>15</v>
      </c>
      <c r="L208" t="s">
        <v>27</v>
      </c>
      <c r="M208">
        <v>4</v>
      </c>
      <c r="N208" t="s">
        <v>21</v>
      </c>
      <c r="O208" s="2">
        <v>46033</v>
      </c>
    </row>
    <row r="209" spans="1:15" x14ac:dyDescent="0.35">
      <c r="A209" t="s">
        <v>246</v>
      </c>
      <c r="B209">
        <v>27</v>
      </c>
      <c r="C209" t="s">
        <v>29</v>
      </c>
      <c r="D209" t="s">
        <v>30</v>
      </c>
      <c r="E209" t="s">
        <v>57</v>
      </c>
      <c r="F209" t="s">
        <v>25</v>
      </c>
      <c r="G209" t="s">
        <v>37</v>
      </c>
      <c r="H209">
        <v>117753</v>
      </c>
      <c r="I209">
        <v>2</v>
      </c>
      <c r="J209">
        <v>3</v>
      </c>
      <c r="K209">
        <v>6</v>
      </c>
      <c r="L209" t="s">
        <v>27</v>
      </c>
      <c r="M209">
        <v>3</v>
      </c>
      <c r="N209" t="s">
        <v>21</v>
      </c>
      <c r="O209" s="2">
        <v>43846</v>
      </c>
    </row>
    <row r="210" spans="1:15" x14ac:dyDescent="0.35">
      <c r="A210" t="s">
        <v>247</v>
      </c>
      <c r="B210">
        <v>57</v>
      </c>
      <c r="C210" t="s">
        <v>16</v>
      </c>
      <c r="D210" t="s">
        <v>17</v>
      </c>
      <c r="E210" t="s">
        <v>46</v>
      </c>
      <c r="F210" t="s">
        <v>52</v>
      </c>
      <c r="G210" t="s">
        <v>20</v>
      </c>
      <c r="H210">
        <v>32969</v>
      </c>
      <c r="I210">
        <v>3</v>
      </c>
      <c r="J210">
        <v>3</v>
      </c>
      <c r="K210">
        <v>18</v>
      </c>
      <c r="L210" t="s">
        <v>27</v>
      </c>
      <c r="M210">
        <v>3</v>
      </c>
      <c r="N210" t="s">
        <v>21</v>
      </c>
      <c r="O210" s="2">
        <v>45620</v>
      </c>
    </row>
    <row r="211" spans="1:15" x14ac:dyDescent="0.35">
      <c r="A211" t="s">
        <v>248</v>
      </c>
      <c r="B211">
        <v>41</v>
      </c>
      <c r="C211" t="s">
        <v>16</v>
      </c>
      <c r="D211" t="s">
        <v>17</v>
      </c>
      <c r="E211" t="s">
        <v>18</v>
      </c>
      <c r="F211" t="s">
        <v>35</v>
      </c>
      <c r="G211" t="s">
        <v>26</v>
      </c>
      <c r="H211">
        <v>52447</v>
      </c>
      <c r="I211">
        <v>3</v>
      </c>
      <c r="J211">
        <v>1</v>
      </c>
      <c r="K211">
        <v>14</v>
      </c>
      <c r="L211" t="s">
        <v>27</v>
      </c>
      <c r="M211">
        <v>4</v>
      </c>
      <c r="N211" t="s">
        <v>27</v>
      </c>
      <c r="O211" s="2">
        <v>43946</v>
      </c>
    </row>
    <row r="212" spans="1:15" x14ac:dyDescent="0.35">
      <c r="A212" t="s">
        <v>249</v>
      </c>
      <c r="B212">
        <v>49</v>
      </c>
      <c r="C212" t="s">
        <v>29</v>
      </c>
      <c r="D212" t="s">
        <v>17</v>
      </c>
      <c r="E212" t="s">
        <v>46</v>
      </c>
      <c r="F212" t="s">
        <v>17</v>
      </c>
      <c r="G212" t="s">
        <v>26</v>
      </c>
      <c r="H212">
        <v>36249</v>
      </c>
      <c r="I212">
        <v>2</v>
      </c>
      <c r="J212">
        <v>2</v>
      </c>
      <c r="K212">
        <v>19</v>
      </c>
      <c r="L212" t="s">
        <v>27</v>
      </c>
      <c r="M212">
        <v>3</v>
      </c>
      <c r="N212" t="s">
        <v>21</v>
      </c>
      <c r="O212" s="2">
        <v>44878</v>
      </c>
    </row>
    <row r="213" spans="1:15" x14ac:dyDescent="0.35">
      <c r="A213" t="s">
        <v>250</v>
      </c>
      <c r="B213">
        <v>40</v>
      </c>
      <c r="C213" t="s">
        <v>16</v>
      </c>
      <c r="D213" t="s">
        <v>23</v>
      </c>
      <c r="E213" t="s">
        <v>55</v>
      </c>
      <c r="F213" t="s">
        <v>35</v>
      </c>
      <c r="G213" t="s">
        <v>20</v>
      </c>
      <c r="H213">
        <v>53041</v>
      </c>
      <c r="I213">
        <v>1</v>
      </c>
      <c r="J213">
        <v>2</v>
      </c>
      <c r="K213">
        <v>18</v>
      </c>
      <c r="L213" t="s">
        <v>21</v>
      </c>
      <c r="M213">
        <v>4</v>
      </c>
      <c r="N213" t="s">
        <v>27</v>
      </c>
      <c r="O213" s="2">
        <v>44276</v>
      </c>
    </row>
    <row r="214" spans="1:15" x14ac:dyDescent="0.35">
      <c r="A214" t="s">
        <v>251</v>
      </c>
      <c r="B214">
        <v>42</v>
      </c>
      <c r="C214" t="s">
        <v>29</v>
      </c>
      <c r="D214" t="s">
        <v>23</v>
      </c>
      <c r="E214" t="s">
        <v>24</v>
      </c>
      <c r="F214" t="s">
        <v>52</v>
      </c>
      <c r="G214" t="s">
        <v>20</v>
      </c>
      <c r="H214">
        <v>69472</v>
      </c>
      <c r="I214">
        <v>4</v>
      </c>
      <c r="J214">
        <v>2</v>
      </c>
      <c r="K214">
        <v>21</v>
      </c>
      <c r="L214" t="s">
        <v>27</v>
      </c>
      <c r="M214">
        <v>3</v>
      </c>
      <c r="N214" t="s">
        <v>21</v>
      </c>
      <c r="O214" s="2">
        <v>45398</v>
      </c>
    </row>
    <row r="215" spans="1:15" x14ac:dyDescent="0.35">
      <c r="A215" t="s">
        <v>252</v>
      </c>
      <c r="B215">
        <v>47</v>
      </c>
      <c r="C215" t="s">
        <v>16</v>
      </c>
      <c r="D215" t="s">
        <v>17</v>
      </c>
      <c r="E215" t="s">
        <v>18</v>
      </c>
      <c r="F215" t="s">
        <v>35</v>
      </c>
      <c r="G215" t="s">
        <v>37</v>
      </c>
      <c r="H215">
        <v>66374</v>
      </c>
      <c r="I215">
        <v>4</v>
      </c>
      <c r="J215">
        <v>4</v>
      </c>
      <c r="K215">
        <v>22</v>
      </c>
      <c r="L215" t="s">
        <v>21</v>
      </c>
      <c r="M215">
        <v>3</v>
      </c>
      <c r="N215" t="s">
        <v>21</v>
      </c>
      <c r="O215" s="2">
        <v>42025</v>
      </c>
    </row>
    <row r="216" spans="1:15" x14ac:dyDescent="0.35">
      <c r="A216" t="s">
        <v>253</v>
      </c>
      <c r="B216">
        <v>26</v>
      </c>
      <c r="C216" t="s">
        <v>29</v>
      </c>
      <c r="D216" t="s">
        <v>17</v>
      </c>
      <c r="E216" t="s">
        <v>46</v>
      </c>
      <c r="F216" t="s">
        <v>17</v>
      </c>
      <c r="G216" t="s">
        <v>26</v>
      </c>
      <c r="H216">
        <v>74314</v>
      </c>
      <c r="I216">
        <v>2</v>
      </c>
      <c r="J216">
        <v>4</v>
      </c>
      <c r="K216">
        <v>1</v>
      </c>
      <c r="L216" t="s">
        <v>21</v>
      </c>
      <c r="M216">
        <v>3</v>
      </c>
      <c r="N216" t="s">
        <v>21</v>
      </c>
      <c r="O216" s="2">
        <v>44328</v>
      </c>
    </row>
    <row r="217" spans="1:15" x14ac:dyDescent="0.35">
      <c r="A217" t="s">
        <v>254</v>
      </c>
      <c r="B217">
        <v>53</v>
      </c>
      <c r="C217" t="s">
        <v>16</v>
      </c>
      <c r="D217" t="s">
        <v>23</v>
      </c>
      <c r="E217" t="s">
        <v>42</v>
      </c>
      <c r="F217" t="s">
        <v>19</v>
      </c>
      <c r="G217" t="s">
        <v>20</v>
      </c>
      <c r="H217">
        <v>117910</v>
      </c>
      <c r="I217">
        <v>1</v>
      </c>
      <c r="J217">
        <v>1</v>
      </c>
      <c r="K217">
        <v>21</v>
      </c>
      <c r="L217" t="s">
        <v>21</v>
      </c>
      <c r="M217">
        <v>3</v>
      </c>
      <c r="N217" t="s">
        <v>21</v>
      </c>
      <c r="O217" s="2">
        <v>45769</v>
      </c>
    </row>
    <row r="218" spans="1:15" x14ac:dyDescent="0.35">
      <c r="A218" t="s">
        <v>255</v>
      </c>
      <c r="B218">
        <v>22</v>
      </c>
      <c r="C218" t="s">
        <v>29</v>
      </c>
      <c r="D218" t="s">
        <v>30</v>
      </c>
      <c r="E218" t="s">
        <v>40</v>
      </c>
      <c r="F218" t="s">
        <v>32</v>
      </c>
      <c r="G218" t="s">
        <v>20</v>
      </c>
      <c r="H218">
        <v>108255</v>
      </c>
      <c r="I218">
        <v>2</v>
      </c>
      <c r="J218">
        <v>3</v>
      </c>
      <c r="K218">
        <v>0</v>
      </c>
      <c r="L218" t="s">
        <v>21</v>
      </c>
      <c r="M218">
        <v>3</v>
      </c>
      <c r="N218" t="s">
        <v>21</v>
      </c>
      <c r="O218" s="2">
        <v>42769</v>
      </c>
    </row>
    <row r="219" spans="1:15" x14ac:dyDescent="0.35">
      <c r="A219" t="s">
        <v>256</v>
      </c>
      <c r="B219">
        <v>25</v>
      </c>
      <c r="C219" t="s">
        <v>16</v>
      </c>
      <c r="D219" t="s">
        <v>30</v>
      </c>
      <c r="E219" t="s">
        <v>57</v>
      </c>
      <c r="F219" t="s">
        <v>25</v>
      </c>
      <c r="G219" t="s">
        <v>37</v>
      </c>
      <c r="H219">
        <v>113156</v>
      </c>
      <c r="I219">
        <v>2</v>
      </c>
      <c r="J219">
        <v>4</v>
      </c>
      <c r="K219">
        <v>2</v>
      </c>
      <c r="L219" t="s">
        <v>21</v>
      </c>
      <c r="M219">
        <v>3</v>
      </c>
      <c r="N219" t="s">
        <v>21</v>
      </c>
      <c r="O219" s="2">
        <v>42784</v>
      </c>
    </row>
    <row r="220" spans="1:15" x14ac:dyDescent="0.35">
      <c r="A220" t="s">
        <v>257</v>
      </c>
      <c r="B220">
        <v>36</v>
      </c>
      <c r="C220" t="s">
        <v>29</v>
      </c>
      <c r="D220" t="s">
        <v>23</v>
      </c>
      <c r="E220" t="s">
        <v>24</v>
      </c>
      <c r="F220" t="s">
        <v>19</v>
      </c>
      <c r="G220" t="s">
        <v>20</v>
      </c>
      <c r="H220">
        <v>19056</v>
      </c>
      <c r="I220">
        <v>3</v>
      </c>
      <c r="J220">
        <v>1</v>
      </c>
      <c r="K220">
        <v>0</v>
      </c>
      <c r="L220" t="s">
        <v>21</v>
      </c>
      <c r="M220">
        <v>4</v>
      </c>
      <c r="N220" t="s">
        <v>21</v>
      </c>
      <c r="O220" s="2">
        <v>43087</v>
      </c>
    </row>
    <row r="221" spans="1:15" x14ac:dyDescent="0.35">
      <c r="A221" t="s">
        <v>258</v>
      </c>
      <c r="B221">
        <v>28</v>
      </c>
      <c r="C221" t="s">
        <v>16</v>
      </c>
      <c r="D221" t="s">
        <v>30</v>
      </c>
      <c r="E221" t="s">
        <v>34</v>
      </c>
      <c r="F221" t="s">
        <v>19</v>
      </c>
      <c r="G221" t="s">
        <v>26</v>
      </c>
      <c r="H221">
        <v>66177</v>
      </c>
      <c r="I221">
        <v>3</v>
      </c>
      <c r="J221">
        <v>2</v>
      </c>
      <c r="K221">
        <v>5</v>
      </c>
      <c r="L221" t="s">
        <v>27</v>
      </c>
      <c r="M221">
        <v>4</v>
      </c>
      <c r="N221" t="s">
        <v>21</v>
      </c>
      <c r="O221" s="2">
        <v>43095</v>
      </c>
    </row>
    <row r="222" spans="1:15" x14ac:dyDescent="0.35">
      <c r="A222" t="s">
        <v>259</v>
      </c>
      <c r="B222">
        <v>32</v>
      </c>
      <c r="C222" t="s">
        <v>16</v>
      </c>
      <c r="D222" t="s">
        <v>17</v>
      </c>
      <c r="E222" t="s">
        <v>18</v>
      </c>
      <c r="F222" t="s">
        <v>19</v>
      </c>
      <c r="G222" t="s">
        <v>20</v>
      </c>
      <c r="H222">
        <v>112690</v>
      </c>
      <c r="I222">
        <v>2</v>
      </c>
      <c r="J222">
        <v>2</v>
      </c>
      <c r="K222">
        <v>5</v>
      </c>
      <c r="L222" t="s">
        <v>21</v>
      </c>
      <c r="M222">
        <v>4</v>
      </c>
      <c r="N222" t="s">
        <v>21</v>
      </c>
      <c r="O222" s="2">
        <v>45629</v>
      </c>
    </row>
    <row r="223" spans="1:15" x14ac:dyDescent="0.35">
      <c r="A223" t="s">
        <v>260</v>
      </c>
      <c r="B223">
        <v>46</v>
      </c>
      <c r="C223" t="s">
        <v>16</v>
      </c>
      <c r="D223" t="s">
        <v>23</v>
      </c>
      <c r="E223" t="s">
        <v>24</v>
      </c>
      <c r="F223" t="s">
        <v>17</v>
      </c>
      <c r="G223" t="s">
        <v>26</v>
      </c>
      <c r="H223">
        <v>59222</v>
      </c>
      <c r="I223">
        <v>2</v>
      </c>
      <c r="J223">
        <v>2</v>
      </c>
      <c r="K223">
        <v>13</v>
      </c>
      <c r="L223" t="s">
        <v>21</v>
      </c>
      <c r="M223">
        <v>3</v>
      </c>
      <c r="N223" t="s">
        <v>21</v>
      </c>
      <c r="O223" s="2">
        <v>42695</v>
      </c>
    </row>
    <row r="224" spans="1:15" x14ac:dyDescent="0.35">
      <c r="A224" t="s">
        <v>261</v>
      </c>
      <c r="B224">
        <v>23</v>
      </c>
      <c r="C224" t="s">
        <v>16</v>
      </c>
      <c r="D224" t="s">
        <v>17</v>
      </c>
      <c r="E224" t="s">
        <v>46</v>
      </c>
      <c r="F224" t="s">
        <v>52</v>
      </c>
      <c r="G224" t="s">
        <v>37</v>
      </c>
      <c r="H224">
        <v>85862</v>
      </c>
      <c r="I224">
        <v>2</v>
      </c>
      <c r="J224">
        <v>4</v>
      </c>
      <c r="K224">
        <v>0</v>
      </c>
      <c r="L224" t="s">
        <v>21</v>
      </c>
      <c r="M224">
        <v>3</v>
      </c>
      <c r="N224" t="s">
        <v>21</v>
      </c>
      <c r="O224" s="2">
        <v>42452</v>
      </c>
    </row>
    <row r="225" spans="1:15" x14ac:dyDescent="0.35">
      <c r="A225" t="s">
        <v>262</v>
      </c>
      <c r="B225">
        <v>53</v>
      </c>
      <c r="C225" t="s">
        <v>29</v>
      </c>
      <c r="D225" t="s">
        <v>23</v>
      </c>
      <c r="E225" t="s">
        <v>24</v>
      </c>
      <c r="F225" t="s">
        <v>17</v>
      </c>
      <c r="G225" t="s">
        <v>26</v>
      </c>
      <c r="H225">
        <v>19581</v>
      </c>
      <c r="I225">
        <v>3</v>
      </c>
      <c r="J225">
        <v>3</v>
      </c>
      <c r="K225">
        <v>16</v>
      </c>
      <c r="L225" t="s">
        <v>27</v>
      </c>
      <c r="M225">
        <v>3</v>
      </c>
      <c r="N225" t="s">
        <v>21</v>
      </c>
      <c r="O225" s="2">
        <v>45452</v>
      </c>
    </row>
    <row r="226" spans="1:15" x14ac:dyDescent="0.35">
      <c r="A226" t="s">
        <v>263</v>
      </c>
      <c r="B226">
        <v>26</v>
      </c>
      <c r="C226" t="s">
        <v>29</v>
      </c>
      <c r="D226" t="s">
        <v>23</v>
      </c>
      <c r="E226" t="s">
        <v>55</v>
      </c>
      <c r="F226" t="s">
        <v>17</v>
      </c>
      <c r="G226" t="s">
        <v>37</v>
      </c>
      <c r="H226">
        <v>26851</v>
      </c>
      <c r="I226">
        <v>1</v>
      </c>
      <c r="J226">
        <v>3</v>
      </c>
      <c r="K226">
        <v>4</v>
      </c>
      <c r="L226" t="s">
        <v>27</v>
      </c>
      <c r="M226">
        <v>3</v>
      </c>
      <c r="N226" t="s">
        <v>27</v>
      </c>
      <c r="O226" s="2">
        <v>42500</v>
      </c>
    </row>
    <row r="227" spans="1:15" x14ac:dyDescent="0.35">
      <c r="A227" t="s">
        <v>264</v>
      </c>
      <c r="B227">
        <v>49</v>
      </c>
      <c r="C227" t="s">
        <v>16</v>
      </c>
      <c r="D227" t="s">
        <v>17</v>
      </c>
      <c r="E227" t="s">
        <v>46</v>
      </c>
      <c r="F227" t="s">
        <v>25</v>
      </c>
      <c r="G227" t="s">
        <v>26</v>
      </c>
      <c r="H227">
        <v>101956</v>
      </c>
      <c r="I227">
        <v>2</v>
      </c>
      <c r="J227">
        <v>3</v>
      </c>
      <c r="K227">
        <v>2</v>
      </c>
      <c r="L227" t="s">
        <v>21</v>
      </c>
      <c r="M227">
        <v>3</v>
      </c>
      <c r="N227" t="s">
        <v>21</v>
      </c>
      <c r="O227" s="2">
        <v>42652</v>
      </c>
    </row>
    <row r="228" spans="1:15" x14ac:dyDescent="0.35">
      <c r="A228" t="s">
        <v>265</v>
      </c>
      <c r="B228">
        <v>26</v>
      </c>
      <c r="C228" t="s">
        <v>16</v>
      </c>
      <c r="D228" t="s">
        <v>30</v>
      </c>
      <c r="E228" t="s">
        <v>40</v>
      </c>
      <c r="F228" t="s">
        <v>52</v>
      </c>
      <c r="G228" t="s">
        <v>26</v>
      </c>
      <c r="H228">
        <v>75342</v>
      </c>
      <c r="I228">
        <v>2</v>
      </c>
      <c r="J228">
        <v>1</v>
      </c>
      <c r="K228">
        <v>5</v>
      </c>
      <c r="L228" t="s">
        <v>21</v>
      </c>
      <c r="M228">
        <v>3</v>
      </c>
      <c r="N228" t="s">
        <v>27</v>
      </c>
      <c r="O228" s="2">
        <v>45564</v>
      </c>
    </row>
    <row r="229" spans="1:15" x14ac:dyDescent="0.35">
      <c r="A229" t="s">
        <v>266</v>
      </c>
      <c r="B229">
        <v>41</v>
      </c>
      <c r="C229" t="s">
        <v>29</v>
      </c>
      <c r="D229" t="s">
        <v>17</v>
      </c>
      <c r="E229" t="s">
        <v>18</v>
      </c>
      <c r="F229" t="s">
        <v>25</v>
      </c>
      <c r="G229" t="s">
        <v>37</v>
      </c>
      <c r="H229">
        <v>19660</v>
      </c>
      <c r="I229">
        <v>2</v>
      </c>
      <c r="J229">
        <v>1</v>
      </c>
      <c r="K229">
        <v>3</v>
      </c>
      <c r="L229" t="s">
        <v>27</v>
      </c>
      <c r="M229">
        <v>3</v>
      </c>
      <c r="N229" t="s">
        <v>21</v>
      </c>
      <c r="O229" s="2">
        <v>44845</v>
      </c>
    </row>
    <row r="230" spans="1:15" x14ac:dyDescent="0.35">
      <c r="A230" t="s">
        <v>267</v>
      </c>
      <c r="B230">
        <v>39</v>
      </c>
      <c r="C230" t="s">
        <v>29</v>
      </c>
      <c r="D230" t="s">
        <v>23</v>
      </c>
      <c r="E230" t="s">
        <v>42</v>
      </c>
      <c r="F230" t="s">
        <v>52</v>
      </c>
      <c r="G230" t="s">
        <v>26</v>
      </c>
      <c r="H230">
        <v>61910</v>
      </c>
      <c r="I230">
        <v>4</v>
      </c>
      <c r="J230">
        <v>3</v>
      </c>
      <c r="K230">
        <v>0</v>
      </c>
      <c r="L230" t="s">
        <v>27</v>
      </c>
      <c r="M230">
        <v>3</v>
      </c>
      <c r="N230" t="s">
        <v>21</v>
      </c>
      <c r="O230" s="2">
        <v>42636</v>
      </c>
    </row>
    <row r="231" spans="1:15" x14ac:dyDescent="0.35">
      <c r="A231" t="s">
        <v>268</v>
      </c>
      <c r="B231">
        <v>53</v>
      </c>
      <c r="C231" t="s">
        <v>16</v>
      </c>
      <c r="D231" t="s">
        <v>30</v>
      </c>
      <c r="E231" t="s">
        <v>34</v>
      </c>
      <c r="F231" t="s">
        <v>19</v>
      </c>
      <c r="G231" t="s">
        <v>20</v>
      </c>
      <c r="H231">
        <v>38618</v>
      </c>
      <c r="I231">
        <v>3</v>
      </c>
      <c r="J231">
        <v>1</v>
      </c>
      <c r="K231">
        <v>11</v>
      </c>
      <c r="L231" t="s">
        <v>27</v>
      </c>
      <c r="M231">
        <v>3</v>
      </c>
      <c r="N231" t="s">
        <v>21</v>
      </c>
      <c r="O231" s="2">
        <v>46173</v>
      </c>
    </row>
    <row r="232" spans="1:15" x14ac:dyDescent="0.35">
      <c r="A232" t="s">
        <v>269</v>
      </c>
      <c r="B232">
        <v>52</v>
      </c>
      <c r="C232" t="s">
        <v>16</v>
      </c>
      <c r="D232" t="s">
        <v>23</v>
      </c>
      <c r="E232" t="s">
        <v>24</v>
      </c>
      <c r="F232" t="s">
        <v>52</v>
      </c>
      <c r="G232" t="s">
        <v>26</v>
      </c>
      <c r="H232">
        <v>37671</v>
      </c>
      <c r="I232">
        <v>2</v>
      </c>
      <c r="J232">
        <v>1</v>
      </c>
      <c r="K232">
        <v>12</v>
      </c>
      <c r="L232" t="s">
        <v>21</v>
      </c>
      <c r="M232">
        <v>4</v>
      </c>
      <c r="N232" t="s">
        <v>21</v>
      </c>
      <c r="O232" s="2">
        <v>44641</v>
      </c>
    </row>
    <row r="233" spans="1:15" x14ac:dyDescent="0.35">
      <c r="A233" t="s">
        <v>270</v>
      </c>
      <c r="B233">
        <v>26</v>
      </c>
      <c r="C233" t="s">
        <v>29</v>
      </c>
      <c r="D233" t="s">
        <v>30</v>
      </c>
      <c r="E233" t="s">
        <v>31</v>
      </c>
      <c r="F233" t="s">
        <v>19</v>
      </c>
      <c r="G233" t="s">
        <v>37</v>
      </c>
      <c r="H233">
        <v>83803</v>
      </c>
      <c r="I233">
        <v>1</v>
      </c>
      <c r="J233">
        <v>2</v>
      </c>
      <c r="K233">
        <v>0</v>
      </c>
      <c r="L233" t="s">
        <v>21</v>
      </c>
      <c r="M233">
        <v>3</v>
      </c>
      <c r="N233" t="s">
        <v>21</v>
      </c>
      <c r="O233" s="2">
        <v>42381</v>
      </c>
    </row>
    <row r="234" spans="1:15" x14ac:dyDescent="0.35">
      <c r="A234" t="s">
        <v>271</v>
      </c>
      <c r="B234">
        <v>42</v>
      </c>
      <c r="C234" t="s">
        <v>16</v>
      </c>
      <c r="D234" t="s">
        <v>30</v>
      </c>
      <c r="E234" t="s">
        <v>31</v>
      </c>
      <c r="F234" t="s">
        <v>52</v>
      </c>
      <c r="G234" t="s">
        <v>37</v>
      </c>
      <c r="H234">
        <v>77866</v>
      </c>
      <c r="I234">
        <v>1</v>
      </c>
      <c r="J234">
        <v>3</v>
      </c>
      <c r="K234">
        <v>17</v>
      </c>
      <c r="L234" t="s">
        <v>27</v>
      </c>
      <c r="M234">
        <v>3</v>
      </c>
      <c r="N234" t="s">
        <v>21</v>
      </c>
      <c r="O234" s="2">
        <v>44494</v>
      </c>
    </row>
    <row r="235" spans="1:15" x14ac:dyDescent="0.35">
      <c r="A235" t="s">
        <v>272</v>
      </c>
      <c r="B235">
        <v>34</v>
      </c>
      <c r="C235" t="s">
        <v>16</v>
      </c>
      <c r="D235" t="s">
        <v>17</v>
      </c>
      <c r="E235" t="s">
        <v>46</v>
      </c>
      <c r="F235" t="s">
        <v>32</v>
      </c>
      <c r="G235" t="s">
        <v>20</v>
      </c>
      <c r="H235">
        <v>18835</v>
      </c>
      <c r="I235">
        <v>4</v>
      </c>
      <c r="J235">
        <v>1</v>
      </c>
      <c r="K235">
        <v>2</v>
      </c>
      <c r="L235" t="s">
        <v>27</v>
      </c>
      <c r="M235">
        <v>3</v>
      </c>
      <c r="N235" t="s">
        <v>21</v>
      </c>
      <c r="O235" s="2">
        <v>44842</v>
      </c>
    </row>
    <row r="236" spans="1:15" x14ac:dyDescent="0.35">
      <c r="A236" t="s">
        <v>273</v>
      </c>
      <c r="B236">
        <v>41</v>
      </c>
      <c r="C236" t="s">
        <v>29</v>
      </c>
      <c r="D236" t="s">
        <v>17</v>
      </c>
      <c r="E236" t="s">
        <v>46</v>
      </c>
      <c r="F236" t="s">
        <v>19</v>
      </c>
      <c r="G236" t="s">
        <v>20</v>
      </c>
      <c r="H236">
        <v>87443</v>
      </c>
      <c r="I236">
        <v>2</v>
      </c>
      <c r="J236">
        <v>4</v>
      </c>
      <c r="K236">
        <v>6</v>
      </c>
      <c r="L236" t="s">
        <v>27</v>
      </c>
      <c r="M236">
        <v>4</v>
      </c>
      <c r="N236" t="s">
        <v>27</v>
      </c>
      <c r="O236" s="2">
        <v>43171</v>
      </c>
    </row>
    <row r="237" spans="1:15" x14ac:dyDescent="0.35">
      <c r="A237" t="s">
        <v>274</v>
      </c>
      <c r="B237">
        <v>48</v>
      </c>
      <c r="C237" t="s">
        <v>16</v>
      </c>
      <c r="D237" t="s">
        <v>23</v>
      </c>
      <c r="E237" t="s">
        <v>42</v>
      </c>
      <c r="F237" t="s">
        <v>17</v>
      </c>
      <c r="G237" t="s">
        <v>26</v>
      </c>
      <c r="H237">
        <v>116028</v>
      </c>
      <c r="I237">
        <v>1</v>
      </c>
      <c r="J237">
        <v>1</v>
      </c>
      <c r="K237">
        <v>14</v>
      </c>
      <c r="L237" t="s">
        <v>21</v>
      </c>
      <c r="M237">
        <v>3</v>
      </c>
      <c r="N237" t="s">
        <v>21</v>
      </c>
      <c r="O237" s="2">
        <v>45235</v>
      </c>
    </row>
    <row r="238" spans="1:15" x14ac:dyDescent="0.35">
      <c r="A238" t="s">
        <v>275</v>
      </c>
      <c r="B238">
        <v>30</v>
      </c>
      <c r="C238" t="s">
        <v>29</v>
      </c>
      <c r="D238" t="s">
        <v>23</v>
      </c>
      <c r="E238" t="s">
        <v>55</v>
      </c>
      <c r="F238" t="s">
        <v>25</v>
      </c>
      <c r="G238" t="s">
        <v>20</v>
      </c>
      <c r="H238">
        <v>52208</v>
      </c>
      <c r="I238">
        <v>3</v>
      </c>
      <c r="J238">
        <v>4</v>
      </c>
      <c r="K238">
        <v>4</v>
      </c>
      <c r="L238" t="s">
        <v>27</v>
      </c>
      <c r="M238">
        <v>3</v>
      </c>
      <c r="N238" t="s">
        <v>21</v>
      </c>
      <c r="O238" s="2">
        <v>45713</v>
      </c>
    </row>
    <row r="239" spans="1:15" x14ac:dyDescent="0.35">
      <c r="A239" t="s">
        <v>276</v>
      </c>
      <c r="B239">
        <v>28</v>
      </c>
      <c r="C239" t="s">
        <v>29</v>
      </c>
      <c r="D239" t="s">
        <v>23</v>
      </c>
      <c r="E239" t="s">
        <v>24</v>
      </c>
      <c r="F239" t="s">
        <v>25</v>
      </c>
      <c r="G239" t="s">
        <v>37</v>
      </c>
      <c r="H239">
        <v>39544</v>
      </c>
      <c r="I239">
        <v>4</v>
      </c>
      <c r="J239">
        <v>4</v>
      </c>
      <c r="K239">
        <v>1</v>
      </c>
      <c r="L239" t="s">
        <v>27</v>
      </c>
      <c r="M239">
        <v>3</v>
      </c>
      <c r="N239" t="s">
        <v>21</v>
      </c>
      <c r="O239" s="2">
        <v>42994</v>
      </c>
    </row>
    <row r="240" spans="1:15" x14ac:dyDescent="0.35">
      <c r="A240" t="s">
        <v>277</v>
      </c>
      <c r="B240">
        <v>38</v>
      </c>
      <c r="C240" t="s">
        <v>16</v>
      </c>
      <c r="D240" t="s">
        <v>30</v>
      </c>
      <c r="E240" t="s">
        <v>40</v>
      </c>
      <c r="F240" t="s">
        <v>35</v>
      </c>
      <c r="G240" t="s">
        <v>20</v>
      </c>
      <c r="H240">
        <v>38658</v>
      </c>
      <c r="I240">
        <v>3</v>
      </c>
      <c r="J240">
        <v>1</v>
      </c>
      <c r="K240">
        <v>2</v>
      </c>
      <c r="L240" t="s">
        <v>27</v>
      </c>
      <c r="M240">
        <v>3</v>
      </c>
      <c r="N240" t="s">
        <v>21</v>
      </c>
      <c r="O240" s="2">
        <v>43220</v>
      </c>
    </row>
    <row r="241" spans="1:15" x14ac:dyDescent="0.35">
      <c r="A241" t="s">
        <v>278</v>
      </c>
      <c r="B241">
        <v>54</v>
      </c>
      <c r="C241" t="s">
        <v>16</v>
      </c>
      <c r="D241" t="s">
        <v>30</v>
      </c>
      <c r="E241" t="s">
        <v>40</v>
      </c>
      <c r="F241" t="s">
        <v>19</v>
      </c>
      <c r="G241" t="s">
        <v>37</v>
      </c>
      <c r="H241">
        <v>57169</v>
      </c>
      <c r="I241">
        <v>3</v>
      </c>
      <c r="J241">
        <v>2</v>
      </c>
      <c r="K241">
        <v>21</v>
      </c>
      <c r="L241" t="s">
        <v>27</v>
      </c>
      <c r="M241">
        <v>3</v>
      </c>
      <c r="N241" t="s">
        <v>21</v>
      </c>
      <c r="O241" s="2">
        <v>45709</v>
      </c>
    </row>
    <row r="242" spans="1:15" x14ac:dyDescent="0.35">
      <c r="A242" t="s">
        <v>279</v>
      </c>
      <c r="B242">
        <v>29</v>
      </c>
      <c r="C242" t="s">
        <v>29</v>
      </c>
      <c r="D242" t="s">
        <v>23</v>
      </c>
      <c r="E242" t="s">
        <v>24</v>
      </c>
      <c r="F242" t="s">
        <v>19</v>
      </c>
      <c r="G242" t="s">
        <v>20</v>
      </c>
      <c r="H242">
        <v>47135</v>
      </c>
      <c r="I242">
        <v>2</v>
      </c>
      <c r="J242">
        <v>2</v>
      </c>
      <c r="K242">
        <v>0</v>
      </c>
      <c r="L242" t="s">
        <v>27</v>
      </c>
      <c r="M242">
        <v>4</v>
      </c>
      <c r="N242" t="s">
        <v>21</v>
      </c>
      <c r="O242" s="2">
        <v>42693</v>
      </c>
    </row>
    <row r="243" spans="1:15" x14ac:dyDescent="0.35">
      <c r="A243" t="s">
        <v>280</v>
      </c>
      <c r="B243">
        <v>50</v>
      </c>
      <c r="C243" t="s">
        <v>29</v>
      </c>
      <c r="D243" t="s">
        <v>23</v>
      </c>
      <c r="E243" t="s">
        <v>24</v>
      </c>
      <c r="F243" t="s">
        <v>35</v>
      </c>
      <c r="G243" t="s">
        <v>37</v>
      </c>
      <c r="H243">
        <v>61456</v>
      </c>
      <c r="I243">
        <v>1</v>
      </c>
      <c r="J243">
        <v>1</v>
      </c>
      <c r="K243">
        <v>2</v>
      </c>
      <c r="L243" t="s">
        <v>27</v>
      </c>
      <c r="M243">
        <v>4</v>
      </c>
      <c r="N243" t="s">
        <v>27</v>
      </c>
      <c r="O243" s="2">
        <v>43381</v>
      </c>
    </row>
    <row r="244" spans="1:15" x14ac:dyDescent="0.35">
      <c r="A244" t="s">
        <v>281</v>
      </c>
      <c r="B244">
        <v>46</v>
      </c>
      <c r="C244" t="s">
        <v>16</v>
      </c>
      <c r="D244" t="s">
        <v>30</v>
      </c>
      <c r="E244" t="s">
        <v>34</v>
      </c>
      <c r="F244" t="s">
        <v>19</v>
      </c>
      <c r="G244" t="s">
        <v>26</v>
      </c>
      <c r="H244">
        <v>64392</v>
      </c>
      <c r="I244">
        <v>2</v>
      </c>
      <c r="J244">
        <v>2</v>
      </c>
      <c r="K244">
        <v>5</v>
      </c>
      <c r="L244" t="s">
        <v>21</v>
      </c>
      <c r="M244">
        <v>3</v>
      </c>
      <c r="N244" t="s">
        <v>21</v>
      </c>
      <c r="O244" s="2">
        <v>45658</v>
      </c>
    </row>
    <row r="245" spans="1:15" x14ac:dyDescent="0.35">
      <c r="A245" t="s">
        <v>282</v>
      </c>
      <c r="B245">
        <v>40</v>
      </c>
      <c r="C245" t="s">
        <v>16</v>
      </c>
      <c r="D245" t="s">
        <v>17</v>
      </c>
      <c r="E245" t="s">
        <v>18</v>
      </c>
      <c r="F245" t="s">
        <v>52</v>
      </c>
      <c r="G245" t="s">
        <v>20</v>
      </c>
      <c r="H245">
        <v>90179</v>
      </c>
      <c r="I245">
        <v>4</v>
      </c>
      <c r="J245">
        <v>1</v>
      </c>
      <c r="K245">
        <v>13</v>
      </c>
      <c r="L245" t="s">
        <v>21</v>
      </c>
      <c r="M245">
        <v>3</v>
      </c>
      <c r="N245" t="s">
        <v>21</v>
      </c>
      <c r="O245" s="2">
        <v>45142</v>
      </c>
    </row>
    <row r="246" spans="1:15" x14ac:dyDescent="0.35">
      <c r="A246" t="s">
        <v>283</v>
      </c>
      <c r="B246">
        <v>56</v>
      </c>
      <c r="C246" t="s">
        <v>29</v>
      </c>
      <c r="D246" t="s">
        <v>17</v>
      </c>
      <c r="E246" t="s">
        <v>18</v>
      </c>
      <c r="F246" t="s">
        <v>52</v>
      </c>
      <c r="G246" t="s">
        <v>37</v>
      </c>
      <c r="H246">
        <v>111502</v>
      </c>
      <c r="I246">
        <v>3</v>
      </c>
      <c r="J246">
        <v>4</v>
      </c>
      <c r="K246">
        <v>12</v>
      </c>
      <c r="L246" t="s">
        <v>27</v>
      </c>
      <c r="M246">
        <v>4</v>
      </c>
      <c r="N246" t="s">
        <v>21</v>
      </c>
      <c r="O246" s="2">
        <v>46120</v>
      </c>
    </row>
    <row r="247" spans="1:15" x14ac:dyDescent="0.35">
      <c r="A247" t="s">
        <v>284</v>
      </c>
      <c r="B247">
        <v>42</v>
      </c>
      <c r="C247" t="s">
        <v>16</v>
      </c>
      <c r="D247" t="s">
        <v>23</v>
      </c>
      <c r="E247" t="s">
        <v>24</v>
      </c>
      <c r="F247" t="s">
        <v>19</v>
      </c>
      <c r="G247" t="s">
        <v>20</v>
      </c>
      <c r="H247">
        <v>54822</v>
      </c>
      <c r="I247">
        <v>1</v>
      </c>
      <c r="J247">
        <v>4</v>
      </c>
      <c r="K247">
        <v>0</v>
      </c>
      <c r="L247" t="s">
        <v>27</v>
      </c>
      <c r="M247">
        <v>3</v>
      </c>
      <c r="N247" t="s">
        <v>21</v>
      </c>
      <c r="O247" s="2">
        <v>43911</v>
      </c>
    </row>
    <row r="248" spans="1:15" x14ac:dyDescent="0.35">
      <c r="A248" t="s">
        <v>285</v>
      </c>
      <c r="B248">
        <v>39</v>
      </c>
      <c r="C248" t="s">
        <v>29</v>
      </c>
      <c r="D248" t="s">
        <v>17</v>
      </c>
      <c r="E248" t="s">
        <v>18</v>
      </c>
      <c r="F248" t="s">
        <v>35</v>
      </c>
      <c r="G248" t="s">
        <v>26</v>
      </c>
      <c r="H248">
        <v>93457</v>
      </c>
      <c r="I248">
        <v>4</v>
      </c>
      <c r="J248">
        <v>3</v>
      </c>
      <c r="K248">
        <v>7</v>
      </c>
      <c r="L248" t="s">
        <v>27</v>
      </c>
      <c r="M248">
        <v>3</v>
      </c>
      <c r="N248" t="s">
        <v>21</v>
      </c>
      <c r="O248" s="2">
        <v>43942</v>
      </c>
    </row>
    <row r="249" spans="1:15" x14ac:dyDescent="0.35">
      <c r="A249" t="s">
        <v>286</v>
      </c>
      <c r="B249">
        <v>44</v>
      </c>
      <c r="C249" t="s">
        <v>16</v>
      </c>
      <c r="D249" t="s">
        <v>30</v>
      </c>
      <c r="E249" t="s">
        <v>34</v>
      </c>
      <c r="F249" t="s">
        <v>19</v>
      </c>
      <c r="G249" t="s">
        <v>20</v>
      </c>
      <c r="H249">
        <v>42672</v>
      </c>
      <c r="I249">
        <v>4</v>
      </c>
      <c r="J249">
        <v>3</v>
      </c>
      <c r="K249">
        <v>18</v>
      </c>
      <c r="L249" t="s">
        <v>27</v>
      </c>
      <c r="M249">
        <v>3</v>
      </c>
      <c r="N249" t="s">
        <v>21</v>
      </c>
      <c r="O249" s="2">
        <v>42315</v>
      </c>
    </row>
    <row r="250" spans="1:15" x14ac:dyDescent="0.35">
      <c r="A250" t="s">
        <v>287</v>
      </c>
      <c r="B250">
        <v>23</v>
      </c>
      <c r="C250" t="s">
        <v>29</v>
      </c>
      <c r="D250" t="s">
        <v>17</v>
      </c>
      <c r="E250" t="s">
        <v>18</v>
      </c>
      <c r="F250" t="s">
        <v>19</v>
      </c>
      <c r="G250" t="s">
        <v>20</v>
      </c>
      <c r="H250">
        <v>61481</v>
      </c>
      <c r="I250">
        <v>2</v>
      </c>
      <c r="J250">
        <v>2</v>
      </c>
      <c r="K250">
        <v>0</v>
      </c>
      <c r="L250" t="s">
        <v>21</v>
      </c>
      <c r="M250">
        <v>3</v>
      </c>
      <c r="N250" t="s">
        <v>21</v>
      </c>
      <c r="O250" s="2">
        <v>43458</v>
      </c>
    </row>
    <row r="251" spans="1:15" x14ac:dyDescent="0.35">
      <c r="A251" t="s">
        <v>288</v>
      </c>
      <c r="B251">
        <v>31</v>
      </c>
      <c r="C251" t="s">
        <v>29</v>
      </c>
      <c r="D251" t="s">
        <v>23</v>
      </c>
      <c r="E251" t="s">
        <v>42</v>
      </c>
      <c r="F251" t="s">
        <v>32</v>
      </c>
      <c r="G251" t="s">
        <v>37</v>
      </c>
      <c r="H251">
        <v>65826</v>
      </c>
      <c r="I251">
        <v>1</v>
      </c>
      <c r="J251">
        <v>3</v>
      </c>
      <c r="K251">
        <v>8</v>
      </c>
      <c r="L251" t="s">
        <v>27</v>
      </c>
      <c r="M251">
        <v>4</v>
      </c>
      <c r="N251" t="s">
        <v>21</v>
      </c>
      <c r="O251" s="2">
        <v>42832</v>
      </c>
    </row>
    <row r="252" spans="1:15" x14ac:dyDescent="0.35">
      <c r="A252" t="s">
        <v>289</v>
      </c>
      <c r="B252">
        <v>49</v>
      </c>
      <c r="C252" t="s">
        <v>29</v>
      </c>
      <c r="D252" t="s">
        <v>23</v>
      </c>
      <c r="E252" t="s">
        <v>24</v>
      </c>
      <c r="F252" t="s">
        <v>32</v>
      </c>
      <c r="G252" t="s">
        <v>26</v>
      </c>
      <c r="H252">
        <v>59586</v>
      </c>
      <c r="I252">
        <v>2</v>
      </c>
      <c r="J252">
        <v>3</v>
      </c>
      <c r="K252">
        <v>20</v>
      </c>
      <c r="L252" t="s">
        <v>21</v>
      </c>
      <c r="M252">
        <v>3</v>
      </c>
      <c r="N252" t="s">
        <v>21</v>
      </c>
      <c r="O252" s="2">
        <v>43441</v>
      </c>
    </row>
    <row r="253" spans="1:15" x14ac:dyDescent="0.35">
      <c r="A253" t="s">
        <v>290</v>
      </c>
      <c r="B253">
        <v>30</v>
      </c>
      <c r="C253" t="s">
        <v>16</v>
      </c>
      <c r="D253" t="s">
        <v>17</v>
      </c>
      <c r="E253" t="s">
        <v>46</v>
      </c>
      <c r="F253" t="s">
        <v>35</v>
      </c>
      <c r="G253" t="s">
        <v>26</v>
      </c>
      <c r="H253">
        <v>110013</v>
      </c>
      <c r="I253">
        <v>4</v>
      </c>
      <c r="J253">
        <v>1</v>
      </c>
      <c r="K253">
        <v>0</v>
      </c>
      <c r="L253" t="s">
        <v>27</v>
      </c>
      <c r="M253">
        <v>3</v>
      </c>
      <c r="N253" t="s">
        <v>21</v>
      </c>
      <c r="O253" s="2">
        <v>44611</v>
      </c>
    </row>
    <row r="254" spans="1:15" x14ac:dyDescent="0.35">
      <c r="A254" t="s">
        <v>291</v>
      </c>
      <c r="B254">
        <v>31</v>
      </c>
      <c r="C254" t="s">
        <v>29</v>
      </c>
      <c r="D254" t="s">
        <v>23</v>
      </c>
      <c r="E254" t="s">
        <v>55</v>
      </c>
      <c r="F254" t="s">
        <v>52</v>
      </c>
      <c r="G254" t="s">
        <v>20</v>
      </c>
      <c r="H254">
        <v>49194</v>
      </c>
      <c r="I254">
        <v>3</v>
      </c>
      <c r="J254">
        <v>3</v>
      </c>
      <c r="K254">
        <v>1</v>
      </c>
      <c r="L254" t="s">
        <v>21</v>
      </c>
      <c r="M254">
        <v>3</v>
      </c>
      <c r="N254" t="s">
        <v>21</v>
      </c>
      <c r="O254" s="2">
        <v>42731</v>
      </c>
    </row>
    <row r="255" spans="1:15" x14ac:dyDescent="0.35">
      <c r="A255" t="s">
        <v>292</v>
      </c>
      <c r="B255">
        <v>37</v>
      </c>
      <c r="C255" t="s">
        <v>29</v>
      </c>
      <c r="D255" t="s">
        <v>30</v>
      </c>
      <c r="E255" t="s">
        <v>57</v>
      </c>
      <c r="F255" t="s">
        <v>25</v>
      </c>
      <c r="G255" t="s">
        <v>37</v>
      </c>
      <c r="H255">
        <v>51640</v>
      </c>
      <c r="I255">
        <v>1</v>
      </c>
      <c r="J255">
        <v>1</v>
      </c>
      <c r="K255">
        <v>11</v>
      </c>
      <c r="L255" t="s">
        <v>27</v>
      </c>
      <c r="M255">
        <v>3</v>
      </c>
      <c r="N255" t="s">
        <v>21</v>
      </c>
      <c r="O255" s="2">
        <v>45594</v>
      </c>
    </row>
    <row r="256" spans="1:15" x14ac:dyDescent="0.35">
      <c r="A256" t="s">
        <v>293</v>
      </c>
      <c r="B256">
        <v>44</v>
      </c>
      <c r="C256" t="s">
        <v>29</v>
      </c>
      <c r="D256" t="s">
        <v>30</v>
      </c>
      <c r="E256" t="s">
        <v>40</v>
      </c>
      <c r="F256" t="s">
        <v>19</v>
      </c>
      <c r="G256" t="s">
        <v>37</v>
      </c>
      <c r="H256">
        <v>80847</v>
      </c>
      <c r="I256">
        <v>2</v>
      </c>
      <c r="J256">
        <v>2</v>
      </c>
      <c r="K256">
        <v>3</v>
      </c>
      <c r="L256" t="s">
        <v>21</v>
      </c>
      <c r="M256">
        <v>4</v>
      </c>
      <c r="N256" t="s">
        <v>27</v>
      </c>
      <c r="O256" s="2">
        <v>42278</v>
      </c>
    </row>
    <row r="257" spans="1:15" x14ac:dyDescent="0.35">
      <c r="A257" t="s">
        <v>294</v>
      </c>
      <c r="B257">
        <v>26</v>
      </c>
      <c r="C257" t="s">
        <v>16</v>
      </c>
      <c r="D257" t="s">
        <v>30</v>
      </c>
      <c r="E257" t="s">
        <v>34</v>
      </c>
      <c r="F257" t="s">
        <v>52</v>
      </c>
      <c r="G257" t="s">
        <v>26</v>
      </c>
      <c r="H257">
        <v>67212</v>
      </c>
      <c r="I257">
        <v>2</v>
      </c>
      <c r="J257">
        <v>1</v>
      </c>
      <c r="K257">
        <v>1</v>
      </c>
      <c r="L257" t="s">
        <v>21</v>
      </c>
      <c r="M257">
        <v>3</v>
      </c>
      <c r="N257" t="s">
        <v>21</v>
      </c>
      <c r="O257" s="2">
        <v>45959</v>
      </c>
    </row>
    <row r="258" spans="1:15" x14ac:dyDescent="0.35">
      <c r="A258" t="s">
        <v>295</v>
      </c>
      <c r="B258">
        <v>49</v>
      </c>
      <c r="C258" t="s">
        <v>29</v>
      </c>
      <c r="D258" t="s">
        <v>23</v>
      </c>
      <c r="E258" t="s">
        <v>42</v>
      </c>
      <c r="F258" t="s">
        <v>32</v>
      </c>
      <c r="G258" t="s">
        <v>20</v>
      </c>
      <c r="H258">
        <v>31272</v>
      </c>
      <c r="I258">
        <v>3</v>
      </c>
      <c r="J258">
        <v>2</v>
      </c>
      <c r="K258">
        <v>1</v>
      </c>
      <c r="L258" t="s">
        <v>27</v>
      </c>
      <c r="M258">
        <v>3</v>
      </c>
      <c r="N258" t="s">
        <v>21</v>
      </c>
      <c r="O258" s="2">
        <v>44178</v>
      </c>
    </row>
    <row r="259" spans="1:15" x14ac:dyDescent="0.35">
      <c r="A259" t="s">
        <v>296</v>
      </c>
      <c r="B259">
        <v>47</v>
      </c>
      <c r="C259" t="s">
        <v>29</v>
      </c>
      <c r="D259" t="s">
        <v>23</v>
      </c>
      <c r="E259" t="s">
        <v>24</v>
      </c>
      <c r="F259" t="s">
        <v>25</v>
      </c>
      <c r="G259" t="s">
        <v>20</v>
      </c>
      <c r="H259">
        <v>25144</v>
      </c>
      <c r="I259">
        <v>3</v>
      </c>
      <c r="J259">
        <v>1</v>
      </c>
      <c r="K259">
        <v>4</v>
      </c>
      <c r="L259" t="s">
        <v>21</v>
      </c>
      <c r="M259">
        <v>4</v>
      </c>
      <c r="N259" t="s">
        <v>21</v>
      </c>
      <c r="O259" s="2">
        <v>44417</v>
      </c>
    </row>
    <row r="260" spans="1:15" x14ac:dyDescent="0.35">
      <c r="A260" t="s">
        <v>297</v>
      </c>
      <c r="B260">
        <v>32</v>
      </c>
      <c r="C260" t="s">
        <v>29</v>
      </c>
      <c r="D260" t="s">
        <v>23</v>
      </c>
      <c r="E260" t="s">
        <v>24</v>
      </c>
      <c r="F260" t="s">
        <v>19</v>
      </c>
      <c r="G260" t="s">
        <v>26</v>
      </c>
      <c r="H260">
        <v>80071</v>
      </c>
      <c r="I260">
        <v>1</v>
      </c>
      <c r="J260">
        <v>3</v>
      </c>
      <c r="K260">
        <v>1</v>
      </c>
      <c r="L260" t="s">
        <v>21</v>
      </c>
      <c r="M260">
        <v>4</v>
      </c>
      <c r="N260" t="s">
        <v>21</v>
      </c>
      <c r="O260" s="2">
        <v>46011</v>
      </c>
    </row>
    <row r="261" spans="1:15" x14ac:dyDescent="0.35">
      <c r="A261" t="s">
        <v>298</v>
      </c>
      <c r="B261">
        <v>33</v>
      </c>
      <c r="C261" t="s">
        <v>29</v>
      </c>
      <c r="D261" t="s">
        <v>17</v>
      </c>
      <c r="E261" t="s">
        <v>46</v>
      </c>
      <c r="F261" t="s">
        <v>32</v>
      </c>
      <c r="G261" t="s">
        <v>20</v>
      </c>
      <c r="H261">
        <v>66418</v>
      </c>
      <c r="I261">
        <v>2</v>
      </c>
      <c r="J261">
        <v>4</v>
      </c>
      <c r="K261">
        <v>6</v>
      </c>
      <c r="L261" t="s">
        <v>21</v>
      </c>
      <c r="M261">
        <v>3</v>
      </c>
      <c r="N261" t="s">
        <v>21</v>
      </c>
      <c r="O261" s="2">
        <v>45607</v>
      </c>
    </row>
    <row r="262" spans="1:15" x14ac:dyDescent="0.35">
      <c r="A262" t="s">
        <v>299</v>
      </c>
      <c r="B262">
        <v>31</v>
      </c>
      <c r="C262" t="s">
        <v>29</v>
      </c>
      <c r="D262" t="s">
        <v>30</v>
      </c>
      <c r="E262" t="s">
        <v>34</v>
      </c>
      <c r="F262" t="s">
        <v>17</v>
      </c>
      <c r="G262" t="s">
        <v>37</v>
      </c>
      <c r="H262">
        <v>105574</v>
      </c>
      <c r="I262">
        <v>3</v>
      </c>
      <c r="J262">
        <v>4</v>
      </c>
      <c r="K262">
        <v>1</v>
      </c>
      <c r="L262" t="s">
        <v>27</v>
      </c>
      <c r="M262">
        <v>3</v>
      </c>
      <c r="N262" t="s">
        <v>21</v>
      </c>
      <c r="O262" s="2">
        <v>42504</v>
      </c>
    </row>
    <row r="263" spans="1:15" x14ac:dyDescent="0.35">
      <c r="A263" t="s">
        <v>300</v>
      </c>
      <c r="B263">
        <v>58</v>
      </c>
      <c r="C263" t="s">
        <v>16</v>
      </c>
      <c r="D263" t="s">
        <v>17</v>
      </c>
      <c r="E263" t="s">
        <v>46</v>
      </c>
      <c r="F263" t="s">
        <v>52</v>
      </c>
      <c r="G263" t="s">
        <v>20</v>
      </c>
      <c r="H263">
        <v>57171</v>
      </c>
      <c r="I263">
        <v>1</v>
      </c>
      <c r="J263">
        <v>4</v>
      </c>
      <c r="K263">
        <v>15</v>
      </c>
      <c r="L263" t="s">
        <v>27</v>
      </c>
      <c r="M263">
        <v>3</v>
      </c>
      <c r="N263" t="s">
        <v>21</v>
      </c>
      <c r="O263" s="2">
        <v>43212</v>
      </c>
    </row>
    <row r="264" spans="1:15" x14ac:dyDescent="0.35">
      <c r="A264" t="s">
        <v>301</v>
      </c>
      <c r="B264">
        <v>34</v>
      </c>
      <c r="C264" t="s">
        <v>29</v>
      </c>
      <c r="D264" t="s">
        <v>23</v>
      </c>
      <c r="E264" t="s">
        <v>24</v>
      </c>
      <c r="F264" t="s">
        <v>32</v>
      </c>
      <c r="G264" t="s">
        <v>26</v>
      </c>
      <c r="H264">
        <v>73492</v>
      </c>
      <c r="I264">
        <v>1</v>
      </c>
      <c r="J264">
        <v>4</v>
      </c>
      <c r="K264">
        <v>0</v>
      </c>
      <c r="L264" t="s">
        <v>27</v>
      </c>
      <c r="M264">
        <v>3</v>
      </c>
      <c r="N264" t="s">
        <v>21</v>
      </c>
      <c r="O264" s="2">
        <v>43216</v>
      </c>
    </row>
    <row r="265" spans="1:15" x14ac:dyDescent="0.35">
      <c r="A265" t="s">
        <v>302</v>
      </c>
      <c r="B265">
        <v>46</v>
      </c>
      <c r="C265" t="s">
        <v>16</v>
      </c>
      <c r="D265" t="s">
        <v>23</v>
      </c>
      <c r="E265" t="s">
        <v>24</v>
      </c>
      <c r="F265" t="s">
        <v>52</v>
      </c>
      <c r="G265" t="s">
        <v>20</v>
      </c>
      <c r="H265">
        <v>60746</v>
      </c>
      <c r="I265">
        <v>3</v>
      </c>
      <c r="J265">
        <v>4</v>
      </c>
      <c r="K265">
        <v>17</v>
      </c>
      <c r="L265" t="s">
        <v>21</v>
      </c>
      <c r="M265">
        <v>3</v>
      </c>
      <c r="N265" t="s">
        <v>21</v>
      </c>
      <c r="O265" s="2">
        <v>45442</v>
      </c>
    </row>
    <row r="266" spans="1:15" x14ac:dyDescent="0.35">
      <c r="A266" t="s">
        <v>303</v>
      </c>
      <c r="B266">
        <v>28</v>
      </c>
      <c r="C266" t="s">
        <v>29</v>
      </c>
      <c r="D266" t="s">
        <v>23</v>
      </c>
      <c r="E266" t="s">
        <v>42</v>
      </c>
      <c r="F266" t="s">
        <v>19</v>
      </c>
      <c r="G266" t="s">
        <v>20</v>
      </c>
      <c r="H266">
        <v>55498</v>
      </c>
      <c r="I266">
        <v>3</v>
      </c>
      <c r="J266">
        <v>4</v>
      </c>
      <c r="K266">
        <v>1</v>
      </c>
      <c r="L266" t="s">
        <v>27</v>
      </c>
      <c r="M266">
        <v>3</v>
      </c>
      <c r="N266" t="s">
        <v>21</v>
      </c>
      <c r="O266" s="2">
        <v>45982</v>
      </c>
    </row>
    <row r="267" spans="1:15" x14ac:dyDescent="0.35">
      <c r="A267" t="s">
        <v>304</v>
      </c>
      <c r="B267">
        <v>31</v>
      </c>
      <c r="C267" t="s">
        <v>29</v>
      </c>
      <c r="D267" t="s">
        <v>30</v>
      </c>
      <c r="E267" t="s">
        <v>40</v>
      </c>
      <c r="F267" t="s">
        <v>32</v>
      </c>
      <c r="G267" t="s">
        <v>20</v>
      </c>
      <c r="H267">
        <v>69877</v>
      </c>
      <c r="I267">
        <v>3</v>
      </c>
      <c r="J267">
        <v>2</v>
      </c>
      <c r="K267">
        <v>0</v>
      </c>
      <c r="L267" t="s">
        <v>21</v>
      </c>
      <c r="M267">
        <v>3</v>
      </c>
      <c r="N267" t="s">
        <v>21</v>
      </c>
      <c r="O267" s="2">
        <v>45897</v>
      </c>
    </row>
    <row r="268" spans="1:15" x14ac:dyDescent="0.35">
      <c r="A268" t="s">
        <v>305</v>
      </c>
      <c r="B268">
        <v>41</v>
      </c>
      <c r="C268" t="s">
        <v>29</v>
      </c>
      <c r="D268" t="s">
        <v>30</v>
      </c>
      <c r="E268" t="s">
        <v>31</v>
      </c>
      <c r="F268" t="s">
        <v>32</v>
      </c>
      <c r="G268" t="s">
        <v>26</v>
      </c>
      <c r="H268">
        <v>109250</v>
      </c>
      <c r="I268">
        <v>1</v>
      </c>
      <c r="J268">
        <v>2</v>
      </c>
      <c r="K268">
        <v>15</v>
      </c>
      <c r="L268" t="s">
        <v>21</v>
      </c>
      <c r="M268">
        <v>3</v>
      </c>
      <c r="N268" t="s">
        <v>21</v>
      </c>
      <c r="O268" s="2">
        <v>45634</v>
      </c>
    </row>
    <row r="269" spans="1:15" x14ac:dyDescent="0.35">
      <c r="A269" t="s">
        <v>306</v>
      </c>
      <c r="B269">
        <v>34</v>
      </c>
      <c r="C269" t="s">
        <v>16</v>
      </c>
      <c r="D269" t="s">
        <v>30</v>
      </c>
      <c r="E269" t="s">
        <v>34</v>
      </c>
      <c r="F269" t="s">
        <v>32</v>
      </c>
      <c r="G269" t="s">
        <v>26</v>
      </c>
      <c r="H269">
        <v>71368</v>
      </c>
      <c r="I269">
        <v>4</v>
      </c>
      <c r="J269">
        <v>3</v>
      </c>
      <c r="K269">
        <v>3</v>
      </c>
      <c r="L269" t="s">
        <v>21</v>
      </c>
      <c r="M269">
        <v>3</v>
      </c>
      <c r="N269" t="s">
        <v>21</v>
      </c>
      <c r="O269" s="2">
        <v>43307</v>
      </c>
    </row>
    <row r="270" spans="1:15" x14ac:dyDescent="0.35">
      <c r="A270" t="s">
        <v>307</v>
      </c>
      <c r="B270">
        <v>30</v>
      </c>
      <c r="C270" t="s">
        <v>16</v>
      </c>
      <c r="D270" t="s">
        <v>17</v>
      </c>
      <c r="E270" t="s">
        <v>46</v>
      </c>
      <c r="F270" t="s">
        <v>32</v>
      </c>
      <c r="G270" t="s">
        <v>26</v>
      </c>
      <c r="H270">
        <v>43265</v>
      </c>
      <c r="I270">
        <v>2</v>
      </c>
      <c r="J270">
        <v>1</v>
      </c>
      <c r="K270">
        <v>2</v>
      </c>
      <c r="L270" t="s">
        <v>27</v>
      </c>
      <c r="M270">
        <v>3</v>
      </c>
      <c r="N270" t="s">
        <v>27</v>
      </c>
      <c r="O270" s="2">
        <v>45744</v>
      </c>
    </row>
    <row r="271" spans="1:15" x14ac:dyDescent="0.35">
      <c r="A271" t="s">
        <v>308</v>
      </c>
      <c r="B271">
        <v>45</v>
      </c>
      <c r="C271" t="s">
        <v>29</v>
      </c>
      <c r="D271" t="s">
        <v>23</v>
      </c>
      <c r="E271" t="s">
        <v>55</v>
      </c>
      <c r="F271" t="s">
        <v>25</v>
      </c>
      <c r="G271" t="s">
        <v>37</v>
      </c>
      <c r="H271">
        <v>70028</v>
      </c>
      <c r="I271">
        <v>1</v>
      </c>
      <c r="J271">
        <v>1</v>
      </c>
      <c r="K271">
        <v>16</v>
      </c>
      <c r="L271" t="s">
        <v>21</v>
      </c>
      <c r="M271">
        <v>3</v>
      </c>
      <c r="N271" t="s">
        <v>21</v>
      </c>
      <c r="O271" s="2">
        <v>46009</v>
      </c>
    </row>
    <row r="272" spans="1:15" x14ac:dyDescent="0.35">
      <c r="A272" t="s">
        <v>309</v>
      </c>
      <c r="B272">
        <v>44</v>
      </c>
      <c r="C272" t="s">
        <v>16</v>
      </c>
      <c r="D272" t="s">
        <v>17</v>
      </c>
      <c r="E272" t="s">
        <v>46</v>
      </c>
      <c r="F272" t="s">
        <v>17</v>
      </c>
      <c r="G272" t="s">
        <v>20</v>
      </c>
      <c r="H272">
        <v>116167</v>
      </c>
      <c r="I272">
        <v>1</v>
      </c>
      <c r="J272">
        <v>3</v>
      </c>
      <c r="K272">
        <v>8</v>
      </c>
      <c r="L272" t="s">
        <v>27</v>
      </c>
      <c r="M272">
        <v>3</v>
      </c>
      <c r="N272" t="s">
        <v>21</v>
      </c>
      <c r="O272" s="2">
        <v>42411</v>
      </c>
    </row>
    <row r="273" spans="1:15" x14ac:dyDescent="0.35">
      <c r="A273" t="s">
        <v>310</v>
      </c>
      <c r="B273">
        <v>36</v>
      </c>
      <c r="C273" t="s">
        <v>16</v>
      </c>
      <c r="D273" t="s">
        <v>23</v>
      </c>
      <c r="E273" t="s">
        <v>42</v>
      </c>
      <c r="F273" t="s">
        <v>17</v>
      </c>
      <c r="G273" t="s">
        <v>20</v>
      </c>
      <c r="H273">
        <v>103404</v>
      </c>
      <c r="I273">
        <v>4</v>
      </c>
      <c r="J273">
        <v>1</v>
      </c>
      <c r="K273">
        <v>8</v>
      </c>
      <c r="L273" t="s">
        <v>27</v>
      </c>
      <c r="M273">
        <v>3</v>
      </c>
      <c r="N273" t="s">
        <v>21</v>
      </c>
      <c r="O273" s="2">
        <v>43088</v>
      </c>
    </row>
    <row r="274" spans="1:15" x14ac:dyDescent="0.35">
      <c r="A274" t="s">
        <v>311</v>
      </c>
      <c r="B274">
        <v>41</v>
      </c>
      <c r="C274" t="s">
        <v>29</v>
      </c>
      <c r="D274" t="s">
        <v>23</v>
      </c>
      <c r="E274" t="s">
        <v>55</v>
      </c>
      <c r="F274" t="s">
        <v>35</v>
      </c>
      <c r="G274" t="s">
        <v>26</v>
      </c>
      <c r="H274">
        <v>67345</v>
      </c>
      <c r="I274">
        <v>3</v>
      </c>
      <c r="J274">
        <v>4</v>
      </c>
      <c r="K274">
        <v>13</v>
      </c>
      <c r="L274" t="s">
        <v>21</v>
      </c>
      <c r="M274">
        <v>3</v>
      </c>
      <c r="N274" t="s">
        <v>21</v>
      </c>
      <c r="O274" s="2">
        <v>45828</v>
      </c>
    </row>
    <row r="275" spans="1:15" x14ac:dyDescent="0.35">
      <c r="A275" t="s">
        <v>312</v>
      </c>
      <c r="B275">
        <v>28</v>
      </c>
      <c r="C275" t="s">
        <v>29</v>
      </c>
      <c r="D275" t="s">
        <v>17</v>
      </c>
      <c r="E275" t="s">
        <v>46</v>
      </c>
      <c r="F275" t="s">
        <v>32</v>
      </c>
      <c r="G275" t="s">
        <v>26</v>
      </c>
      <c r="H275">
        <v>91591</v>
      </c>
      <c r="I275">
        <v>3</v>
      </c>
      <c r="J275">
        <v>3</v>
      </c>
      <c r="K275">
        <v>5</v>
      </c>
      <c r="L275" t="s">
        <v>27</v>
      </c>
      <c r="M275">
        <v>3</v>
      </c>
      <c r="N275" t="s">
        <v>21</v>
      </c>
      <c r="O275" s="2">
        <v>42527</v>
      </c>
    </row>
    <row r="276" spans="1:15" x14ac:dyDescent="0.35">
      <c r="A276" t="s">
        <v>313</v>
      </c>
      <c r="B276">
        <v>38</v>
      </c>
      <c r="C276" t="s">
        <v>16</v>
      </c>
      <c r="D276" t="s">
        <v>30</v>
      </c>
      <c r="E276" t="s">
        <v>31</v>
      </c>
      <c r="F276" t="s">
        <v>35</v>
      </c>
      <c r="G276" t="s">
        <v>20</v>
      </c>
      <c r="H276">
        <v>37651</v>
      </c>
      <c r="I276">
        <v>2</v>
      </c>
      <c r="J276">
        <v>1</v>
      </c>
      <c r="K276">
        <v>6</v>
      </c>
      <c r="L276" t="s">
        <v>21</v>
      </c>
      <c r="M276">
        <v>4</v>
      </c>
      <c r="N276" t="s">
        <v>21</v>
      </c>
      <c r="O276" s="2">
        <v>44623</v>
      </c>
    </row>
    <row r="277" spans="1:15" x14ac:dyDescent="0.35">
      <c r="A277" t="s">
        <v>314</v>
      </c>
      <c r="B277">
        <v>40</v>
      </c>
      <c r="C277" t="s">
        <v>29</v>
      </c>
      <c r="D277" t="s">
        <v>17</v>
      </c>
      <c r="E277" t="s">
        <v>46</v>
      </c>
      <c r="F277" t="s">
        <v>35</v>
      </c>
      <c r="G277" t="s">
        <v>37</v>
      </c>
      <c r="H277">
        <v>71031</v>
      </c>
      <c r="I277">
        <v>4</v>
      </c>
      <c r="J277">
        <v>1</v>
      </c>
      <c r="K277">
        <v>13</v>
      </c>
      <c r="L277" t="s">
        <v>21</v>
      </c>
      <c r="M277">
        <v>3</v>
      </c>
      <c r="N277" t="s">
        <v>21</v>
      </c>
      <c r="O277" s="2">
        <v>43826</v>
      </c>
    </row>
    <row r="278" spans="1:15" x14ac:dyDescent="0.35">
      <c r="A278" t="s">
        <v>315</v>
      </c>
      <c r="B278">
        <v>32</v>
      </c>
      <c r="C278" t="s">
        <v>29</v>
      </c>
      <c r="D278" t="s">
        <v>17</v>
      </c>
      <c r="E278" t="s">
        <v>46</v>
      </c>
      <c r="F278" t="s">
        <v>35</v>
      </c>
      <c r="G278" t="s">
        <v>20</v>
      </c>
      <c r="H278">
        <v>30793</v>
      </c>
      <c r="I278">
        <v>4</v>
      </c>
      <c r="J278">
        <v>2</v>
      </c>
      <c r="K278">
        <v>4</v>
      </c>
      <c r="L278" t="s">
        <v>27</v>
      </c>
      <c r="M278">
        <v>3</v>
      </c>
      <c r="N278" t="s">
        <v>21</v>
      </c>
      <c r="O278" s="2">
        <v>43504</v>
      </c>
    </row>
    <row r="279" spans="1:15" x14ac:dyDescent="0.35">
      <c r="A279" t="s">
        <v>316</v>
      </c>
      <c r="B279">
        <v>36</v>
      </c>
      <c r="C279" t="s">
        <v>29</v>
      </c>
      <c r="D279" t="s">
        <v>23</v>
      </c>
      <c r="E279" t="s">
        <v>55</v>
      </c>
      <c r="F279" t="s">
        <v>19</v>
      </c>
      <c r="G279" t="s">
        <v>26</v>
      </c>
      <c r="H279">
        <v>61426</v>
      </c>
      <c r="I279">
        <v>3</v>
      </c>
      <c r="J279">
        <v>3</v>
      </c>
      <c r="K279">
        <v>13</v>
      </c>
      <c r="L279" t="s">
        <v>21</v>
      </c>
      <c r="M279">
        <v>3</v>
      </c>
      <c r="N279" t="s">
        <v>21</v>
      </c>
      <c r="O279" s="2">
        <v>42969</v>
      </c>
    </row>
    <row r="280" spans="1:15" x14ac:dyDescent="0.35">
      <c r="A280" t="s">
        <v>317</v>
      </c>
      <c r="B280">
        <v>52</v>
      </c>
      <c r="C280" t="s">
        <v>16</v>
      </c>
      <c r="D280" t="s">
        <v>17</v>
      </c>
      <c r="E280" t="s">
        <v>18</v>
      </c>
      <c r="F280" t="s">
        <v>25</v>
      </c>
      <c r="G280" t="s">
        <v>37</v>
      </c>
      <c r="H280">
        <v>33704</v>
      </c>
      <c r="I280">
        <v>4</v>
      </c>
      <c r="J280">
        <v>3</v>
      </c>
      <c r="K280">
        <v>16</v>
      </c>
      <c r="L280" t="s">
        <v>27</v>
      </c>
      <c r="M280">
        <v>4</v>
      </c>
      <c r="N280" t="s">
        <v>27</v>
      </c>
      <c r="O280" s="2">
        <v>43240</v>
      </c>
    </row>
    <row r="281" spans="1:15" x14ac:dyDescent="0.35">
      <c r="A281" t="s">
        <v>318</v>
      </c>
      <c r="B281">
        <v>31</v>
      </c>
      <c r="C281" t="s">
        <v>16</v>
      </c>
      <c r="D281" t="s">
        <v>30</v>
      </c>
      <c r="E281" t="s">
        <v>40</v>
      </c>
      <c r="F281" t="s">
        <v>52</v>
      </c>
      <c r="G281" t="s">
        <v>37</v>
      </c>
      <c r="H281">
        <v>28592</v>
      </c>
      <c r="I281">
        <v>4</v>
      </c>
      <c r="J281">
        <v>3</v>
      </c>
      <c r="K281">
        <v>2</v>
      </c>
      <c r="L281" t="s">
        <v>21</v>
      </c>
      <c r="M281">
        <v>3</v>
      </c>
      <c r="N281" t="s">
        <v>21</v>
      </c>
      <c r="O281" s="2">
        <v>42480</v>
      </c>
    </row>
    <row r="282" spans="1:15" x14ac:dyDescent="0.35">
      <c r="A282" t="s">
        <v>319</v>
      </c>
      <c r="B282">
        <v>58</v>
      </c>
      <c r="C282" t="s">
        <v>29</v>
      </c>
      <c r="D282" t="s">
        <v>23</v>
      </c>
      <c r="E282" t="s">
        <v>24</v>
      </c>
      <c r="F282" t="s">
        <v>52</v>
      </c>
      <c r="G282" t="s">
        <v>37</v>
      </c>
      <c r="H282">
        <v>118082</v>
      </c>
      <c r="I282">
        <v>1</v>
      </c>
      <c r="J282">
        <v>2</v>
      </c>
      <c r="K282">
        <v>15</v>
      </c>
      <c r="L282" t="s">
        <v>27</v>
      </c>
      <c r="M282">
        <v>4</v>
      </c>
      <c r="N282" t="s">
        <v>21</v>
      </c>
      <c r="O282" s="2">
        <v>45522</v>
      </c>
    </row>
    <row r="283" spans="1:15" x14ac:dyDescent="0.35">
      <c r="A283" t="s">
        <v>320</v>
      </c>
      <c r="B283">
        <v>24</v>
      </c>
      <c r="C283" t="s">
        <v>16</v>
      </c>
      <c r="D283" t="s">
        <v>30</v>
      </c>
      <c r="E283" t="s">
        <v>34</v>
      </c>
      <c r="F283" t="s">
        <v>25</v>
      </c>
      <c r="G283" t="s">
        <v>26</v>
      </c>
      <c r="H283">
        <v>19845</v>
      </c>
      <c r="I283">
        <v>3</v>
      </c>
      <c r="J283">
        <v>2</v>
      </c>
      <c r="K283">
        <v>2</v>
      </c>
      <c r="L283" t="s">
        <v>27</v>
      </c>
      <c r="M283">
        <v>3</v>
      </c>
      <c r="N283" t="s">
        <v>21</v>
      </c>
      <c r="O283" s="2">
        <v>42038</v>
      </c>
    </row>
    <row r="284" spans="1:15" x14ac:dyDescent="0.35">
      <c r="A284" t="s">
        <v>321</v>
      </c>
      <c r="B284">
        <v>30</v>
      </c>
      <c r="C284" t="s">
        <v>29</v>
      </c>
      <c r="D284" t="s">
        <v>30</v>
      </c>
      <c r="E284" t="s">
        <v>31</v>
      </c>
      <c r="F284" t="s">
        <v>52</v>
      </c>
      <c r="G284" t="s">
        <v>26</v>
      </c>
      <c r="H284">
        <v>83973</v>
      </c>
      <c r="I284">
        <v>3</v>
      </c>
      <c r="J284">
        <v>2</v>
      </c>
      <c r="K284">
        <v>6</v>
      </c>
      <c r="L284" t="s">
        <v>27</v>
      </c>
      <c r="M284">
        <v>3</v>
      </c>
      <c r="N284" t="s">
        <v>27</v>
      </c>
      <c r="O284" s="2">
        <v>44447</v>
      </c>
    </row>
    <row r="285" spans="1:15" x14ac:dyDescent="0.35">
      <c r="A285" t="s">
        <v>322</v>
      </c>
      <c r="B285">
        <v>49</v>
      </c>
      <c r="C285" t="s">
        <v>16</v>
      </c>
      <c r="D285" t="s">
        <v>17</v>
      </c>
      <c r="E285" t="s">
        <v>46</v>
      </c>
      <c r="F285" t="s">
        <v>25</v>
      </c>
      <c r="G285" t="s">
        <v>26</v>
      </c>
      <c r="H285">
        <v>82248</v>
      </c>
      <c r="I285">
        <v>3</v>
      </c>
      <c r="J285">
        <v>2</v>
      </c>
      <c r="K285">
        <v>10</v>
      </c>
      <c r="L285" t="s">
        <v>27</v>
      </c>
      <c r="M285">
        <v>3</v>
      </c>
      <c r="N285" t="s">
        <v>21</v>
      </c>
      <c r="O285" s="2">
        <v>42161</v>
      </c>
    </row>
    <row r="286" spans="1:15" x14ac:dyDescent="0.35">
      <c r="A286" t="s">
        <v>323</v>
      </c>
      <c r="B286">
        <v>23</v>
      </c>
      <c r="C286" t="s">
        <v>16</v>
      </c>
      <c r="D286" t="s">
        <v>23</v>
      </c>
      <c r="E286" t="s">
        <v>24</v>
      </c>
      <c r="F286" t="s">
        <v>35</v>
      </c>
      <c r="G286" t="s">
        <v>20</v>
      </c>
      <c r="H286">
        <v>66049</v>
      </c>
      <c r="I286">
        <v>1</v>
      </c>
      <c r="J286">
        <v>4</v>
      </c>
      <c r="K286">
        <v>0</v>
      </c>
      <c r="L286" t="s">
        <v>27</v>
      </c>
      <c r="M286">
        <v>3</v>
      </c>
      <c r="N286" t="s">
        <v>21</v>
      </c>
      <c r="O286" s="2">
        <v>42403</v>
      </c>
    </row>
    <row r="287" spans="1:15" x14ac:dyDescent="0.35">
      <c r="A287" t="s">
        <v>324</v>
      </c>
      <c r="B287">
        <v>25</v>
      </c>
      <c r="C287" t="s">
        <v>16</v>
      </c>
      <c r="D287" t="s">
        <v>17</v>
      </c>
      <c r="E287" t="s">
        <v>18</v>
      </c>
      <c r="F287" t="s">
        <v>35</v>
      </c>
      <c r="G287" t="s">
        <v>26</v>
      </c>
      <c r="H287">
        <v>76237</v>
      </c>
      <c r="I287">
        <v>4</v>
      </c>
      <c r="J287">
        <v>1</v>
      </c>
      <c r="K287">
        <v>3</v>
      </c>
      <c r="L287" t="s">
        <v>27</v>
      </c>
      <c r="M287">
        <v>3</v>
      </c>
      <c r="N287" t="s">
        <v>21</v>
      </c>
      <c r="O287" s="2">
        <v>43259</v>
      </c>
    </row>
    <row r="288" spans="1:15" x14ac:dyDescent="0.35">
      <c r="A288" t="s">
        <v>325</v>
      </c>
      <c r="B288">
        <v>41</v>
      </c>
      <c r="C288" t="s">
        <v>16</v>
      </c>
      <c r="D288" t="s">
        <v>17</v>
      </c>
      <c r="E288" t="s">
        <v>18</v>
      </c>
      <c r="F288" t="s">
        <v>32</v>
      </c>
      <c r="G288" t="s">
        <v>20</v>
      </c>
      <c r="H288">
        <v>104832</v>
      </c>
      <c r="I288">
        <v>3</v>
      </c>
      <c r="J288">
        <v>2</v>
      </c>
      <c r="K288">
        <v>3</v>
      </c>
      <c r="L288" t="s">
        <v>21</v>
      </c>
      <c r="M288">
        <v>4</v>
      </c>
      <c r="N288" t="s">
        <v>21</v>
      </c>
      <c r="O288" s="2">
        <v>46195</v>
      </c>
    </row>
    <row r="289" spans="1:15" x14ac:dyDescent="0.35">
      <c r="A289" t="s">
        <v>326</v>
      </c>
      <c r="B289">
        <v>34</v>
      </c>
      <c r="C289" t="s">
        <v>16</v>
      </c>
      <c r="D289" t="s">
        <v>23</v>
      </c>
      <c r="E289" t="s">
        <v>55</v>
      </c>
      <c r="F289" t="s">
        <v>17</v>
      </c>
      <c r="G289" t="s">
        <v>37</v>
      </c>
      <c r="H289">
        <v>52471</v>
      </c>
      <c r="I289">
        <v>2</v>
      </c>
      <c r="J289">
        <v>3</v>
      </c>
      <c r="K289">
        <v>12</v>
      </c>
      <c r="L289" t="s">
        <v>27</v>
      </c>
      <c r="M289">
        <v>4</v>
      </c>
      <c r="N289" t="s">
        <v>21</v>
      </c>
      <c r="O289" s="2">
        <v>43318</v>
      </c>
    </row>
    <row r="290" spans="1:15" x14ac:dyDescent="0.35">
      <c r="A290" t="s">
        <v>327</v>
      </c>
      <c r="B290">
        <v>52</v>
      </c>
      <c r="C290" t="s">
        <v>16</v>
      </c>
      <c r="D290" t="s">
        <v>23</v>
      </c>
      <c r="E290" t="s">
        <v>42</v>
      </c>
      <c r="F290" t="s">
        <v>19</v>
      </c>
      <c r="G290" t="s">
        <v>26</v>
      </c>
      <c r="H290">
        <v>18358</v>
      </c>
      <c r="I290">
        <v>1</v>
      </c>
      <c r="J290">
        <v>1</v>
      </c>
      <c r="K290">
        <v>7</v>
      </c>
      <c r="L290" t="s">
        <v>21</v>
      </c>
      <c r="M290">
        <v>3</v>
      </c>
      <c r="N290" t="s">
        <v>21</v>
      </c>
      <c r="O290" s="2">
        <v>46052</v>
      </c>
    </row>
    <row r="291" spans="1:15" x14ac:dyDescent="0.35">
      <c r="A291" t="s">
        <v>328</v>
      </c>
      <c r="B291">
        <v>28</v>
      </c>
      <c r="C291" t="s">
        <v>16</v>
      </c>
      <c r="D291" t="s">
        <v>23</v>
      </c>
      <c r="E291" t="s">
        <v>42</v>
      </c>
      <c r="F291" t="s">
        <v>19</v>
      </c>
      <c r="G291" t="s">
        <v>37</v>
      </c>
      <c r="H291">
        <v>77867</v>
      </c>
      <c r="I291">
        <v>3</v>
      </c>
      <c r="J291">
        <v>3</v>
      </c>
      <c r="K291">
        <v>3</v>
      </c>
      <c r="L291" t="s">
        <v>21</v>
      </c>
      <c r="M291">
        <v>4</v>
      </c>
      <c r="N291" t="s">
        <v>27</v>
      </c>
      <c r="O291" s="2">
        <v>42822</v>
      </c>
    </row>
    <row r="292" spans="1:15" x14ac:dyDescent="0.35">
      <c r="A292" t="s">
        <v>329</v>
      </c>
      <c r="B292">
        <v>49</v>
      </c>
      <c r="C292" t="s">
        <v>29</v>
      </c>
      <c r="D292" t="s">
        <v>30</v>
      </c>
      <c r="E292" t="s">
        <v>31</v>
      </c>
      <c r="F292" t="s">
        <v>32</v>
      </c>
      <c r="G292" t="s">
        <v>37</v>
      </c>
      <c r="H292">
        <v>117379</v>
      </c>
      <c r="I292">
        <v>1</v>
      </c>
      <c r="J292">
        <v>1</v>
      </c>
      <c r="K292">
        <v>3</v>
      </c>
      <c r="L292" t="s">
        <v>27</v>
      </c>
      <c r="M292">
        <v>3</v>
      </c>
      <c r="N292" t="s">
        <v>21</v>
      </c>
      <c r="O292" s="2">
        <v>43401</v>
      </c>
    </row>
    <row r="293" spans="1:15" x14ac:dyDescent="0.35">
      <c r="A293" t="s">
        <v>330</v>
      </c>
      <c r="B293">
        <v>27</v>
      </c>
      <c r="C293" t="s">
        <v>29</v>
      </c>
      <c r="D293" t="s">
        <v>17</v>
      </c>
      <c r="E293" t="s">
        <v>46</v>
      </c>
      <c r="F293" t="s">
        <v>52</v>
      </c>
      <c r="G293" t="s">
        <v>26</v>
      </c>
      <c r="H293">
        <v>62921</v>
      </c>
      <c r="I293">
        <v>2</v>
      </c>
      <c r="J293">
        <v>1</v>
      </c>
      <c r="K293">
        <v>6</v>
      </c>
      <c r="L293" t="s">
        <v>21</v>
      </c>
      <c r="M293">
        <v>4</v>
      </c>
      <c r="N293" t="s">
        <v>21</v>
      </c>
      <c r="O293" s="2">
        <v>45744</v>
      </c>
    </row>
    <row r="294" spans="1:15" x14ac:dyDescent="0.35">
      <c r="A294" t="s">
        <v>331</v>
      </c>
      <c r="B294">
        <v>32</v>
      </c>
      <c r="C294" t="s">
        <v>29</v>
      </c>
      <c r="D294" t="s">
        <v>30</v>
      </c>
      <c r="E294" t="s">
        <v>40</v>
      </c>
      <c r="F294" t="s">
        <v>25</v>
      </c>
      <c r="G294" t="s">
        <v>26</v>
      </c>
      <c r="H294">
        <v>109248</v>
      </c>
      <c r="I294">
        <v>1</v>
      </c>
      <c r="J294">
        <v>2</v>
      </c>
      <c r="K294">
        <v>2</v>
      </c>
      <c r="L294" t="s">
        <v>27</v>
      </c>
      <c r="M294">
        <v>3</v>
      </c>
      <c r="N294" t="s">
        <v>21</v>
      </c>
      <c r="O294" s="2">
        <v>45959</v>
      </c>
    </row>
    <row r="295" spans="1:15" x14ac:dyDescent="0.35">
      <c r="A295" t="s">
        <v>332</v>
      </c>
      <c r="B295">
        <v>23</v>
      </c>
      <c r="C295" t="s">
        <v>29</v>
      </c>
      <c r="D295" t="s">
        <v>30</v>
      </c>
      <c r="E295" t="s">
        <v>31</v>
      </c>
      <c r="F295" t="s">
        <v>35</v>
      </c>
      <c r="G295" t="s">
        <v>37</v>
      </c>
      <c r="H295">
        <v>81979</v>
      </c>
      <c r="I295">
        <v>1</v>
      </c>
      <c r="J295">
        <v>4</v>
      </c>
      <c r="K295">
        <v>1</v>
      </c>
      <c r="L295" t="s">
        <v>27</v>
      </c>
      <c r="M295">
        <v>4</v>
      </c>
      <c r="N295" t="s">
        <v>27</v>
      </c>
      <c r="O295" s="2">
        <v>42523</v>
      </c>
    </row>
    <row r="296" spans="1:15" x14ac:dyDescent="0.35">
      <c r="A296" t="s">
        <v>333</v>
      </c>
      <c r="B296">
        <v>55</v>
      </c>
      <c r="C296" t="s">
        <v>29</v>
      </c>
      <c r="D296" t="s">
        <v>23</v>
      </c>
      <c r="E296" t="s">
        <v>42</v>
      </c>
      <c r="F296" t="s">
        <v>25</v>
      </c>
      <c r="G296" t="s">
        <v>26</v>
      </c>
      <c r="H296">
        <v>62341</v>
      </c>
      <c r="I296">
        <v>1</v>
      </c>
      <c r="J296">
        <v>4</v>
      </c>
      <c r="K296">
        <v>21</v>
      </c>
      <c r="L296" t="s">
        <v>27</v>
      </c>
      <c r="M296">
        <v>3</v>
      </c>
      <c r="N296" t="s">
        <v>21</v>
      </c>
      <c r="O296" s="2">
        <v>44837</v>
      </c>
    </row>
    <row r="297" spans="1:15" x14ac:dyDescent="0.35">
      <c r="A297" t="s">
        <v>334</v>
      </c>
      <c r="B297">
        <v>22</v>
      </c>
      <c r="C297" t="s">
        <v>29</v>
      </c>
      <c r="D297" t="s">
        <v>17</v>
      </c>
      <c r="E297" t="s">
        <v>18</v>
      </c>
      <c r="F297" t="s">
        <v>32</v>
      </c>
      <c r="G297" t="s">
        <v>20</v>
      </c>
      <c r="H297">
        <v>82990</v>
      </c>
      <c r="I297">
        <v>2</v>
      </c>
      <c r="J297">
        <v>1</v>
      </c>
      <c r="K297">
        <v>1</v>
      </c>
      <c r="L297" t="s">
        <v>27</v>
      </c>
      <c r="M297">
        <v>4</v>
      </c>
      <c r="N297" t="s">
        <v>21</v>
      </c>
      <c r="O297" s="2">
        <v>43978</v>
      </c>
    </row>
    <row r="298" spans="1:15" x14ac:dyDescent="0.35">
      <c r="A298" t="s">
        <v>335</v>
      </c>
      <c r="B298">
        <v>57</v>
      </c>
      <c r="C298" t="s">
        <v>16</v>
      </c>
      <c r="D298" t="s">
        <v>17</v>
      </c>
      <c r="E298" t="s">
        <v>18</v>
      </c>
      <c r="F298" t="s">
        <v>52</v>
      </c>
      <c r="G298" t="s">
        <v>37</v>
      </c>
      <c r="H298">
        <v>48801</v>
      </c>
      <c r="I298">
        <v>1</v>
      </c>
      <c r="J298">
        <v>4</v>
      </c>
      <c r="K298">
        <v>12</v>
      </c>
      <c r="L298" t="s">
        <v>21</v>
      </c>
      <c r="M298">
        <v>4</v>
      </c>
      <c r="N298" t="s">
        <v>21</v>
      </c>
      <c r="O298" s="2">
        <v>45675</v>
      </c>
    </row>
    <row r="299" spans="1:15" x14ac:dyDescent="0.35">
      <c r="A299" t="s">
        <v>336</v>
      </c>
      <c r="B299">
        <v>53</v>
      </c>
      <c r="C299" t="s">
        <v>16</v>
      </c>
      <c r="D299" t="s">
        <v>30</v>
      </c>
      <c r="E299" t="s">
        <v>34</v>
      </c>
      <c r="F299" t="s">
        <v>35</v>
      </c>
      <c r="G299" t="s">
        <v>26</v>
      </c>
      <c r="H299">
        <v>70879</v>
      </c>
      <c r="I299">
        <v>4</v>
      </c>
      <c r="J299">
        <v>1</v>
      </c>
      <c r="K299">
        <v>3</v>
      </c>
      <c r="L299" t="s">
        <v>27</v>
      </c>
      <c r="M299">
        <v>3</v>
      </c>
      <c r="N299" t="s">
        <v>27</v>
      </c>
      <c r="O299" s="2">
        <v>44500</v>
      </c>
    </row>
    <row r="300" spans="1:15" x14ac:dyDescent="0.35">
      <c r="A300" t="s">
        <v>337</v>
      </c>
      <c r="B300">
        <v>45</v>
      </c>
      <c r="C300" t="s">
        <v>16</v>
      </c>
      <c r="D300" t="s">
        <v>30</v>
      </c>
      <c r="E300" t="s">
        <v>31</v>
      </c>
      <c r="F300" t="s">
        <v>19</v>
      </c>
      <c r="G300" t="s">
        <v>26</v>
      </c>
      <c r="H300">
        <v>77566</v>
      </c>
      <c r="I300">
        <v>3</v>
      </c>
      <c r="J300">
        <v>4</v>
      </c>
      <c r="K300">
        <v>7</v>
      </c>
      <c r="L300" t="s">
        <v>27</v>
      </c>
      <c r="M300">
        <v>3</v>
      </c>
      <c r="N300" t="s">
        <v>21</v>
      </c>
      <c r="O300" s="2">
        <v>45712</v>
      </c>
    </row>
    <row r="301" spans="1:15" x14ac:dyDescent="0.35">
      <c r="A301" t="s">
        <v>338</v>
      </c>
      <c r="B301">
        <v>43</v>
      </c>
      <c r="C301" t="s">
        <v>16</v>
      </c>
      <c r="D301" t="s">
        <v>23</v>
      </c>
      <c r="E301" t="s">
        <v>24</v>
      </c>
      <c r="F301" t="s">
        <v>35</v>
      </c>
      <c r="G301" t="s">
        <v>26</v>
      </c>
      <c r="H301">
        <v>56270</v>
      </c>
      <c r="I301">
        <v>3</v>
      </c>
      <c r="J301">
        <v>1</v>
      </c>
      <c r="K301">
        <v>20</v>
      </c>
      <c r="L301" t="s">
        <v>21</v>
      </c>
      <c r="M301">
        <v>3</v>
      </c>
      <c r="N301" t="s">
        <v>21</v>
      </c>
      <c r="O301" s="2">
        <v>46038</v>
      </c>
    </row>
    <row r="302" spans="1:15" x14ac:dyDescent="0.35">
      <c r="A302" t="s">
        <v>339</v>
      </c>
      <c r="B302">
        <v>28</v>
      </c>
      <c r="C302" t="s">
        <v>29</v>
      </c>
      <c r="D302" t="s">
        <v>17</v>
      </c>
      <c r="E302" t="s">
        <v>46</v>
      </c>
      <c r="F302" t="s">
        <v>19</v>
      </c>
      <c r="G302" t="s">
        <v>37</v>
      </c>
      <c r="H302">
        <v>42581</v>
      </c>
      <c r="I302">
        <v>1</v>
      </c>
      <c r="J302">
        <v>4</v>
      </c>
      <c r="K302">
        <v>3</v>
      </c>
      <c r="L302" t="s">
        <v>21</v>
      </c>
      <c r="M302">
        <v>3</v>
      </c>
      <c r="N302" t="s">
        <v>21</v>
      </c>
      <c r="O302" s="2">
        <v>43566</v>
      </c>
    </row>
    <row r="303" spans="1:15" x14ac:dyDescent="0.35">
      <c r="A303" t="s">
        <v>340</v>
      </c>
      <c r="B303">
        <v>29</v>
      </c>
      <c r="C303" t="s">
        <v>29</v>
      </c>
      <c r="D303" t="s">
        <v>23</v>
      </c>
      <c r="E303" t="s">
        <v>42</v>
      </c>
      <c r="F303" t="s">
        <v>17</v>
      </c>
      <c r="G303" t="s">
        <v>37</v>
      </c>
      <c r="H303">
        <v>104305</v>
      </c>
      <c r="I303">
        <v>2</v>
      </c>
      <c r="J303">
        <v>4</v>
      </c>
      <c r="K303">
        <v>7</v>
      </c>
      <c r="L303" t="s">
        <v>21</v>
      </c>
      <c r="M303">
        <v>3</v>
      </c>
      <c r="N303" t="s">
        <v>21</v>
      </c>
      <c r="O303" s="2">
        <v>42402</v>
      </c>
    </row>
    <row r="304" spans="1:15" x14ac:dyDescent="0.35">
      <c r="A304" t="s">
        <v>341</v>
      </c>
      <c r="B304">
        <v>33</v>
      </c>
      <c r="C304" t="s">
        <v>29</v>
      </c>
      <c r="D304" t="s">
        <v>17</v>
      </c>
      <c r="E304" t="s">
        <v>18</v>
      </c>
      <c r="F304" t="s">
        <v>52</v>
      </c>
      <c r="G304" t="s">
        <v>37</v>
      </c>
      <c r="H304">
        <v>68778</v>
      </c>
      <c r="I304">
        <v>3</v>
      </c>
      <c r="J304">
        <v>4</v>
      </c>
      <c r="K304">
        <v>1</v>
      </c>
      <c r="L304" t="s">
        <v>27</v>
      </c>
      <c r="M304">
        <v>4</v>
      </c>
      <c r="N304" t="s">
        <v>21</v>
      </c>
      <c r="O304" s="2">
        <v>44038</v>
      </c>
    </row>
    <row r="305" spans="1:15" x14ac:dyDescent="0.35">
      <c r="A305" t="s">
        <v>342</v>
      </c>
      <c r="B305">
        <v>30</v>
      </c>
      <c r="C305" t="s">
        <v>29</v>
      </c>
      <c r="D305" t="s">
        <v>30</v>
      </c>
      <c r="E305" t="s">
        <v>40</v>
      </c>
      <c r="F305" t="s">
        <v>35</v>
      </c>
      <c r="G305" t="s">
        <v>37</v>
      </c>
      <c r="H305">
        <v>96974</v>
      </c>
      <c r="I305">
        <v>3</v>
      </c>
      <c r="J305">
        <v>3</v>
      </c>
      <c r="K305">
        <v>6</v>
      </c>
      <c r="L305" t="s">
        <v>27</v>
      </c>
      <c r="M305">
        <v>3</v>
      </c>
      <c r="N305" t="s">
        <v>21</v>
      </c>
      <c r="O305" s="2">
        <v>43722</v>
      </c>
    </row>
    <row r="306" spans="1:15" x14ac:dyDescent="0.35">
      <c r="A306" t="s">
        <v>343</v>
      </c>
      <c r="B306">
        <v>33</v>
      </c>
      <c r="C306" t="s">
        <v>29</v>
      </c>
      <c r="D306" t="s">
        <v>17</v>
      </c>
      <c r="E306" t="s">
        <v>18</v>
      </c>
      <c r="F306" t="s">
        <v>19</v>
      </c>
      <c r="G306" t="s">
        <v>26</v>
      </c>
      <c r="H306">
        <v>33126</v>
      </c>
      <c r="I306">
        <v>3</v>
      </c>
      <c r="J306">
        <v>4</v>
      </c>
      <c r="K306">
        <v>11</v>
      </c>
      <c r="L306" t="s">
        <v>21</v>
      </c>
      <c r="M306">
        <v>4</v>
      </c>
      <c r="N306" t="s">
        <v>21</v>
      </c>
      <c r="O306" s="2">
        <v>44347</v>
      </c>
    </row>
    <row r="307" spans="1:15" x14ac:dyDescent="0.35">
      <c r="A307" t="s">
        <v>344</v>
      </c>
      <c r="B307">
        <v>46</v>
      </c>
      <c r="C307" t="s">
        <v>29</v>
      </c>
      <c r="D307" t="s">
        <v>23</v>
      </c>
      <c r="E307" t="s">
        <v>24</v>
      </c>
      <c r="F307" t="s">
        <v>35</v>
      </c>
      <c r="G307" t="s">
        <v>37</v>
      </c>
      <c r="H307">
        <v>105851</v>
      </c>
      <c r="I307">
        <v>1</v>
      </c>
      <c r="J307">
        <v>2</v>
      </c>
      <c r="K307">
        <v>1</v>
      </c>
      <c r="L307" t="s">
        <v>27</v>
      </c>
      <c r="M307">
        <v>3</v>
      </c>
      <c r="N307" t="s">
        <v>21</v>
      </c>
      <c r="O307" s="2">
        <v>43323</v>
      </c>
    </row>
    <row r="308" spans="1:15" x14ac:dyDescent="0.35">
      <c r="A308" t="s">
        <v>345</v>
      </c>
      <c r="B308">
        <v>40</v>
      </c>
      <c r="C308" t="s">
        <v>29</v>
      </c>
      <c r="D308" t="s">
        <v>23</v>
      </c>
      <c r="E308" t="s">
        <v>24</v>
      </c>
      <c r="F308" t="s">
        <v>25</v>
      </c>
      <c r="G308" t="s">
        <v>26</v>
      </c>
      <c r="H308">
        <v>22234</v>
      </c>
      <c r="I308">
        <v>3</v>
      </c>
      <c r="J308">
        <v>4</v>
      </c>
      <c r="K308">
        <v>17</v>
      </c>
      <c r="L308" t="s">
        <v>27</v>
      </c>
      <c r="M308">
        <v>3</v>
      </c>
      <c r="N308" t="s">
        <v>21</v>
      </c>
      <c r="O308" s="2">
        <v>43842</v>
      </c>
    </row>
    <row r="309" spans="1:15" x14ac:dyDescent="0.35">
      <c r="A309" t="s">
        <v>346</v>
      </c>
      <c r="B309">
        <v>25</v>
      </c>
      <c r="C309" t="s">
        <v>16</v>
      </c>
      <c r="D309" t="s">
        <v>17</v>
      </c>
      <c r="E309" t="s">
        <v>46</v>
      </c>
      <c r="F309" t="s">
        <v>17</v>
      </c>
      <c r="G309" t="s">
        <v>37</v>
      </c>
      <c r="H309">
        <v>72600</v>
      </c>
      <c r="I309">
        <v>3</v>
      </c>
      <c r="J309">
        <v>1</v>
      </c>
      <c r="K309">
        <v>3</v>
      </c>
      <c r="L309" t="s">
        <v>21</v>
      </c>
      <c r="M309">
        <v>3</v>
      </c>
      <c r="N309" t="s">
        <v>21</v>
      </c>
      <c r="O309" s="2">
        <v>44063</v>
      </c>
    </row>
    <row r="310" spans="1:15" x14ac:dyDescent="0.35">
      <c r="A310" t="s">
        <v>347</v>
      </c>
      <c r="B310">
        <v>45</v>
      </c>
      <c r="C310" t="s">
        <v>16</v>
      </c>
      <c r="D310" t="s">
        <v>23</v>
      </c>
      <c r="E310" t="s">
        <v>42</v>
      </c>
      <c r="F310" t="s">
        <v>25</v>
      </c>
      <c r="G310" t="s">
        <v>26</v>
      </c>
      <c r="H310">
        <v>113015</v>
      </c>
      <c r="I310">
        <v>2</v>
      </c>
      <c r="J310">
        <v>3</v>
      </c>
      <c r="K310">
        <v>24</v>
      </c>
      <c r="L310" t="s">
        <v>27</v>
      </c>
      <c r="M310">
        <v>4</v>
      </c>
      <c r="N310" t="s">
        <v>27</v>
      </c>
      <c r="O310" s="2">
        <v>42615</v>
      </c>
    </row>
    <row r="311" spans="1:15" x14ac:dyDescent="0.35">
      <c r="A311" t="s">
        <v>348</v>
      </c>
      <c r="B311">
        <v>46</v>
      </c>
      <c r="C311" t="s">
        <v>16</v>
      </c>
      <c r="D311" t="s">
        <v>17</v>
      </c>
      <c r="E311" t="s">
        <v>18</v>
      </c>
      <c r="F311" t="s">
        <v>32</v>
      </c>
      <c r="G311" t="s">
        <v>37</v>
      </c>
      <c r="H311">
        <v>54583</v>
      </c>
      <c r="I311">
        <v>3</v>
      </c>
      <c r="J311">
        <v>2</v>
      </c>
      <c r="K311">
        <v>13</v>
      </c>
      <c r="L311" t="s">
        <v>27</v>
      </c>
      <c r="M311">
        <v>3</v>
      </c>
      <c r="N311" t="s">
        <v>21</v>
      </c>
      <c r="O311" s="2">
        <v>44094</v>
      </c>
    </row>
    <row r="312" spans="1:15" x14ac:dyDescent="0.35">
      <c r="A312" t="s">
        <v>349</v>
      </c>
      <c r="B312">
        <v>24</v>
      </c>
      <c r="C312" t="s">
        <v>16</v>
      </c>
      <c r="D312" t="s">
        <v>17</v>
      </c>
      <c r="E312" t="s">
        <v>18</v>
      </c>
      <c r="F312" t="s">
        <v>35</v>
      </c>
      <c r="G312" t="s">
        <v>37</v>
      </c>
      <c r="H312">
        <v>96234</v>
      </c>
      <c r="I312">
        <v>1</v>
      </c>
      <c r="J312">
        <v>3</v>
      </c>
      <c r="K312">
        <v>2</v>
      </c>
      <c r="L312" t="s">
        <v>27</v>
      </c>
      <c r="M312">
        <v>4</v>
      </c>
      <c r="N312" t="s">
        <v>21</v>
      </c>
      <c r="O312" s="2">
        <v>44938</v>
      </c>
    </row>
    <row r="313" spans="1:15" x14ac:dyDescent="0.35">
      <c r="A313" t="s">
        <v>350</v>
      </c>
      <c r="B313">
        <v>33</v>
      </c>
      <c r="C313" t="s">
        <v>16</v>
      </c>
      <c r="D313" t="s">
        <v>17</v>
      </c>
      <c r="E313" t="s">
        <v>18</v>
      </c>
      <c r="F313" t="s">
        <v>25</v>
      </c>
      <c r="G313" t="s">
        <v>26</v>
      </c>
      <c r="H313">
        <v>84209</v>
      </c>
      <c r="I313">
        <v>2</v>
      </c>
      <c r="J313">
        <v>4</v>
      </c>
      <c r="K313">
        <v>12</v>
      </c>
      <c r="L313" t="s">
        <v>27</v>
      </c>
      <c r="M313">
        <v>4</v>
      </c>
      <c r="N313" t="s">
        <v>27</v>
      </c>
      <c r="O313" s="2">
        <v>44867</v>
      </c>
    </row>
    <row r="314" spans="1:15" x14ac:dyDescent="0.35">
      <c r="A314" t="s">
        <v>351</v>
      </c>
      <c r="B314">
        <v>45</v>
      </c>
      <c r="C314" t="s">
        <v>29</v>
      </c>
      <c r="D314" t="s">
        <v>30</v>
      </c>
      <c r="E314" t="s">
        <v>31</v>
      </c>
      <c r="F314" t="s">
        <v>25</v>
      </c>
      <c r="G314" t="s">
        <v>26</v>
      </c>
      <c r="H314">
        <v>116652</v>
      </c>
      <c r="I314">
        <v>4</v>
      </c>
      <c r="J314">
        <v>1</v>
      </c>
      <c r="K314">
        <v>6</v>
      </c>
      <c r="L314" t="s">
        <v>21</v>
      </c>
      <c r="M314">
        <v>3</v>
      </c>
      <c r="N314" t="s">
        <v>21</v>
      </c>
      <c r="O314" s="2">
        <v>44839</v>
      </c>
    </row>
    <row r="315" spans="1:15" x14ac:dyDescent="0.35">
      <c r="A315" t="s">
        <v>352</v>
      </c>
      <c r="B315">
        <v>24</v>
      </c>
      <c r="C315" t="s">
        <v>29</v>
      </c>
      <c r="D315" t="s">
        <v>17</v>
      </c>
      <c r="E315" t="s">
        <v>18</v>
      </c>
      <c r="F315" t="s">
        <v>52</v>
      </c>
      <c r="G315" t="s">
        <v>20</v>
      </c>
      <c r="H315">
        <v>32860</v>
      </c>
      <c r="I315">
        <v>4</v>
      </c>
      <c r="J315">
        <v>3</v>
      </c>
      <c r="K315">
        <v>3</v>
      </c>
      <c r="L315" t="s">
        <v>21</v>
      </c>
      <c r="M315">
        <v>3</v>
      </c>
      <c r="N315" t="s">
        <v>27</v>
      </c>
      <c r="O315" s="2">
        <v>45076</v>
      </c>
    </row>
    <row r="316" spans="1:15" x14ac:dyDescent="0.35">
      <c r="A316" t="s">
        <v>353</v>
      </c>
      <c r="B316">
        <v>42</v>
      </c>
      <c r="C316" t="s">
        <v>29</v>
      </c>
      <c r="D316" t="s">
        <v>30</v>
      </c>
      <c r="E316" t="s">
        <v>57</v>
      </c>
      <c r="F316" t="s">
        <v>19</v>
      </c>
      <c r="G316" t="s">
        <v>20</v>
      </c>
      <c r="H316">
        <v>39940</v>
      </c>
      <c r="I316">
        <v>1</v>
      </c>
      <c r="J316">
        <v>1</v>
      </c>
      <c r="K316">
        <v>3</v>
      </c>
      <c r="L316" t="s">
        <v>27</v>
      </c>
      <c r="M316">
        <v>3</v>
      </c>
      <c r="N316" t="s">
        <v>21</v>
      </c>
      <c r="O316" s="2">
        <v>43751</v>
      </c>
    </row>
    <row r="317" spans="1:15" x14ac:dyDescent="0.35">
      <c r="A317" t="s">
        <v>354</v>
      </c>
      <c r="B317">
        <v>26</v>
      </c>
      <c r="C317" t="s">
        <v>16</v>
      </c>
      <c r="D317" t="s">
        <v>17</v>
      </c>
      <c r="E317" t="s">
        <v>46</v>
      </c>
      <c r="F317" t="s">
        <v>32</v>
      </c>
      <c r="G317" t="s">
        <v>26</v>
      </c>
      <c r="H317">
        <v>78191</v>
      </c>
      <c r="I317">
        <v>3</v>
      </c>
      <c r="J317">
        <v>1</v>
      </c>
      <c r="K317">
        <v>0</v>
      </c>
      <c r="L317" t="s">
        <v>27</v>
      </c>
      <c r="M317">
        <v>3</v>
      </c>
      <c r="N317" t="s">
        <v>27</v>
      </c>
      <c r="O317" s="2">
        <v>42449</v>
      </c>
    </row>
    <row r="318" spans="1:15" x14ac:dyDescent="0.35">
      <c r="A318" t="s">
        <v>355</v>
      </c>
      <c r="B318">
        <v>36</v>
      </c>
      <c r="C318" t="s">
        <v>29</v>
      </c>
      <c r="D318" t="s">
        <v>23</v>
      </c>
      <c r="E318" t="s">
        <v>42</v>
      </c>
      <c r="F318" t="s">
        <v>35</v>
      </c>
      <c r="G318" t="s">
        <v>20</v>
      </c>
      <c r="H318">
        <v>68860</v>
      </c>
      <c r="I318">
        <v>4</v>
      </c>
      <c r="J318">
        <v>4</v>
      </c>
      <c r="K318">
        <v>13</v>
      </c>
      <c r="L318" t="s">
        <v>21</v>
      </c>
      <c r="M318">
        <v>4</v>
      </c>
      <c r="N318" t="s">
        <v>21</v>
      </c>
      <c r="O318" s="2">
        <v>42143</v>
      </c>
    </row>
    <row r="319" spans="1:15" x14ac:dyDescent="0.35">
      <c r="A319" t="s">
        <v>356</v>
      </c>
      <c r="B319">
        <v>26</v>
      </c>
      <c r="C319" t="s">
        <v>16</v>
      </c>
      <c r="D319" t="s">
        <v>17</v>
      </c>
      <c r="E319" t="s">
        <v>18</v>
      </c>
      <c r="F319" t="s">
        <v>32</v>
      </c>
      <c r="G319" t="s">
        <v>37</v>
      </c>
      <c r="H319">
        <v>27514</v>
      </c>
      <c r="I319">
        <v>3</v>
      </c>
      <c r="J319">
        <v>1</v>
      </c>
      <c r="K319">
        <v>5</v>
      </c>
      <c r="L319" t="s">
        <v>27</v>
      </c>
      <c r="M319">
        <v>3</v>
      </c>
      <c r="N319" t="s">
        <v>21</v>
      </c>
      <c r="O319" s="2">
        <v>44473</v>
      </c>
    </row>
    <row r="320" spans="1:15" x14ac:dyDescent="0.35">
      <c r="A320" t="s">
        <v>357</v>
      </c>
      <c r="B320">
        <v>23</v>
      </c>
      <c r="C320" t="s">
        <v>16</v>
      </c>
      <c r="D320" t="s">
        <v>30</v>
      </c>
      <c r="E320" t="s">
        <v>40</v>
      </c>
      <c r="F320" t="s">
        <v>32</v>
      </c>
      <c r="G320" t="s">
        <v>26</v>
      </c>
      <c r="H320">
        <v>87922</v>
      </c>
      <c r="I320">
        <v>2</v>
      </c>
      <c r="J320">
        <v>2</v>
      </c>
      <c r="K320">
        <v>0</v>
      </c>
      <c r="L320" t="s">
        <v>21</v>
      </c>
      <c r="M320">
        <v>4</v>
      </c>
      <c r="N320" t="s">
        <v>21</v>
      </c>
      <c r="O320" s="2">
        <v>44421</v>
      </c>
    </row>
    <row r="321" spans="1:15" x14ac:dyDescent="0.35">
      <c r="A321" t="s">
        <v>358</v>
      </c>
      <c r="B321">
        <v>22</v>
      </c>
      <c r="C321" t="s">
        <v>29</v>
      </c>
      <c r="D321" t="s">
        <v>17</v>
      </c>
      <c r="E321" t="s">
        <v>46</v>
      </c>
      <c r="F321" t="s">
        <v>25</v>
      </c>
      <c r="G321" t="s">
        <v>37</v>
      </c>
      <c r="H321">
        <v>23475</v>
      </c>
      <c r="I321">
        <v>1</v>
      </c>
      <c r="J321">
        <v>4</v>
      </c>
      <c r="K321">
        <v>0</v>
      </c>
      <c r="L321" t="s">
        <v>27</v>
      </c>
      <c r="M321">
        <v>3</v>
      </c>
      <c r="N321" t="s">
        <v>21</v>
      </c>
      <c r="O321" s="2">
        <v>43725</v>
      </c>
    </row>
    <row r="322" spans="1:15" x14ac:dyDescent="0.35">
      <c r="A322" t="s">
        <v>359</v>
      </c>
      <c r="B322">
        <v>32</v>
      </c>
      <c r="C322" t="s">
        <v>29</v>
      </c>
      <c r="D322" t="s">
        <v>17</v>
      </c>
      <c r="E322" t="s">
        <v>18</v>
      </c>
      <c r="F322" t="s">
        <v>35</v>
      </c>
      <c r="G322" t="s">
        <v>26</v>
      </c>
      <c r="H322">
        <v>98856</v>
      </c>
      <c r="I322">
        <v>3</v>
      </c>
      <c r="J322">
        <v>2</v>
      </c>
      <c r="K322">
        <v>3</v>
      </c>
      <c r="L322" t="s">
        <v>27</v>
      </c>
      <c r="M322">
        <v>3</v>
      </c>
      <c r="N322" t="s">
        <v>21</v>
      </c>
      <c r="O322" s="2">
        <v>42450</v>
      </c>
    </row>
    <row r="323" spans="1:15" x14ac:dyDescent="0.35">
      <c r="A323" t="s">
        <v>360</v>
      </c>
      <c r="B323">
        <v>26</v>
      </c>
      <c r="C323" t="s">
        <v>16</v>
      </c>
      <c r="D323" t="s">
        <v>23</v>
      </c>
      <c r="E323" t="s">
        <v>55</v>
      </c>
      <c r="F323" t="s">
        <v>32</v>
      </c>
      <c r="G323" t="s">
        <v>26</v>
      </c>
      <c r="H323">
        <v>43875</v>
      </c>
      <c r="I323">
        <v>4</v>
      </c>
      <c r="J323">
        <v>3</v>
      </c>
      <c r="K323">
        <v>0</v>
      </c>
      <c r="L323" t="s">
        <v>21</v>
      </c>
      <c r="M323">
        <v>3</v>
      </c>
      <c r="N323" t="s">
        <v>27</v>
      </c>
      <c r="O323" s="2">
        <v>43926</v>
      </c>
    </row>
    <row r="324" spans="1:15" x14ac:dyDescent="0.35">
      <c r="A324" t="s">
        <v>361</v>
      </c>
      <c r="B324">
        <v>42</v>
      </c>
      <c r="C324" t="s">
        <v>16</v>
      </c>
      <c r="D324" t="s">
        <v>23</v>
      </c>
      <c r="E324" t="s">
        <v>24</v>
      </c>
      <c r="F324" t="s">
        <v>19</v>
      </c>
      <c r="G324" t="s">
        <v>37</v>
      </c>
      <c r="H324">
        <v>61036</v>
      </c>
      <c r="I324">
        <v>3</v>
      </c>
      <c r="J324">
        <v>2</v>
      </c>
      <c r="K324">
        <v>14</v>
      </c>
      <c r="L324" t="s">
        <v>21</v>
      </c>
      <c r="M324">
        <v>3</v>
      </c>
      <c r="N324" t="s">
        <v>21</v>
      </c>
      <c r="O324" s="2">
        <v>45513</v>
      </c>
    </row>
    <row r="325" spans="1:15" x14ac:dyDescent="0.35">
      <c r="A325" t="s">
        <v>362</v>
      </c>
      <c r="B325">
        <v>49</v>
      </c>
      <c r="C325" t="s">
        <v>29</v>
      </c>
      <c r="D325" t="s">
        <v>23</v>
      </c>
      <c r="E325" t="s">
        <v>24</v>
      </c>
      <c r="F325" t="s">
        <v>52</v>
      </c>
      <c r="G325" t="s">
        <v>26</v>
      </c>
      <c r="H325">
        <v>35603</v>
      </c>
      <c r="I325">
        <v>3</v>
      </c>
      <c r="J325">
        <v>4</v>
      </c>
      <c r="K325">
        <v>11</v>
      </c>
      <c r="L325" t="s">
        <v>21</v>
      </c>
      <c r="M325">
        <v>4</v>
      </c>
      <c r="N325" t="s">
        <v>21</v>
      </c>
      <c r="O325" s="2">
        <v>44943</v>
      </c>
    </row>
    <row r="326" spans="1:15" x14ac:dyDescent="0.35">
      <c r="A326" t="s">
        <v>363</v>
      </c>
      <c r="B326">
        <v>27</v>
      </c>
      <c r="C326" t="s">
        <v>16</v>
      </c>
      <c r="D326" t="s">
        <v>23</v>
      </c>
      <c r="E326" t="s">
        <v>24</v>
      </c>
      <c r="F326" t="s">
        <v>17</v>
      </c>
      <c r="G326" t="s">
        <v>26</v>
      </c>
      <c r="H326">
        <v>36350</v>
      </c>
      <c r="I326">
        <v>2</v>
      </c>
      <c r="J326">
        <v>3</v>
      </c>
      <c r="K326">
        <v>6</v>
      </c>
      <c r="L326" t="s">
        <v>21</v>
      </c>
      <c r="M326">
        <v>3</v>
      </c>
      <c r="N326" t="s">
        <v>21</v>
      </c>
      <c r="O326" s="2">
        <v>42622</v>
      </c>
    </row>
    <row r="327" spans="1:15" x14ac:dyDescent="0.35">
      <c r="A327" t="s">
        <v>364</v>
      </c>
      <c r="B327">
        <v>47</v>
      </c>
      <c r="C327" t="s">
        <v>16</v>
      </c>
      <c r="D327" t="s">
        <v>23</v>
      </c>
      <c r="E327" t="s">
        <v>42</v>
      </c>
      <c r="F327" t="s">
        <v>17</v>
      </c>
      <c r="G327" t="s">
        <v>26</v>
      </c>
      <c r="H327">
        <v>90298</v>
      </c>
      <c r="I327">
        <v>3</v>
      </c>
      <c r="J327">
        <v>4</v>
      </c>
      <c r="K327">
        <v>1</v>
      </c>
      <c r="L327" t="s">
        <v>27</v>
      </c>
      <c r="M327">
        <v>3</v>
      </c>
      <c r="N327" t="s">
        <v>21</v>
      </c>
      <c r="O327" s="2">
        <v>45220</v>
      </c>
    </row>
    <row r="328" spans="1:15" x14ac:dyDescent="0.35">
      <c r="A328" t="s">
        <v>365</v>
      </c>
      <c r="B328">
        <v>51</v>
      </c>
      <c r="C328" t="s">
        <v>29</v>
      </c>
      <c r="D328" t="s">
        <v>30</v>
      </c>
      <c r="E328" t="s">
        <v>57</v>
      </c>
      <c r="F328" t="s">
        <v>25</v>
      </c>
      <c r="G328" t="s">
        <v>20</v>
      </c>
      <c r="H328">
        <v>65692</v>
      </c>
      <c r="I328">
        <v>1</v>
      </c>
      <c r="J328">
        <v>2</v>
      </c>
      <c r="K328">
        <v>12</v>
      </c>
      <c r="L328" t="s">
        <v>27</v>
      </c>
      <c r="M328">
        <v>3</v>
      </c>
      <c r="N328" t="s">
        <v>21</v>
      </c>
      <c r="O328" s="2">
        <v>43154</v>
      </c>
    </row>
    <row r="329" spans="1:15" x14ac:dyDescent="0.35">
      <c r="A329" t="s">
        <v>366</v>
      </c>
      <c r="B329">
        <v>52</v>
      </c>
      <c r="C329" t="s">
        <v>16</v>
      </c>
      <c r="D329" t="s">
        <v>17</v>
      </c>
      <c r="E329" t="s">
        <v>18</v>
      </c>
      <c r="F329" t="s">
        <v>19</v>
      </c>
      <c r="G329" t="s">
        <v>26</v>
      </c>
      <c r="H329">
        <v>46681</v>
      </c>
      <c r="I329">
        <v>4</v>
      </c>
      <c r="J329">
        <v>2</v>
      </c>
      <c r="K329">
        <v>1</v>
      </c>
      <c r="L329" t="s">
        <v>21</v>
      </c>
      <c r="M329">
        <v>3</v>
      </c>
      <c r="N329" t="s">
        <v>21</v>
      </c>
      <c r="O329" s="2">
        <v>45031</v>
      </c>
    </row>
    <row r="330" spans="1:15" x14ac:dyDescent="0.35">
      <c r="A330" t="s">
        <v>367</v>
      </c>
      <c r="B330">
        <v>45</v>
      </c>
      <c r="C330" t="s">
        <v>29</v>
      </c>
      <c r="D330" t="s">
        <v>23</v>
      </c>
      <c r="E330" t="s">
        <v>42</v>
      </c>
      <c r="F330" t="s">
        <v>17</v>
      </c>
      <c r="G330" t="s">
        <v>26</v>
      </c>
      <c r="H330">
        <v>77591</v>
      </c>
      <c r="I330">
        <v>1</v>
      </c>
      <c r="J330">
        <v>1</v>
      </c>
      <c r="K330">
        <v>15</v>
      </c>
      <c r="L330" t="s">
        <v>21</v>
      </c>
      <c r="M330">
        <v>3</v>
      </c>
      <c r="N330" t="s">
        <v>27</v>
      </c>
      <c r="O330" s="2">
        <v>44245</v>
      </c>
    </row>
    <row r="331" spans="1:15" x14ac:dyDescent="0.35">
      <c r="A331" t="s">
        <v>368</v>
      </c>
      <c r="B331">
        <v>46</v>
      </c>
      <c r="C331" t="s">
        <v>29</v>
      </c>
      <c r="D331" t="s">
        <v>17</v>
      </c>
      <c r="E331" t="s">
        <v>18</v>
      </c>
      <c r="F331" t="s">
        <v>32</v>
      </c>
      <c r="G331" t="s">
        <v>37</v>
      </c>
      <c r="H331">
        <v>95028</v>
      </c>
      <c r="I331">
        <v>1</v>
      </c>
      <c r="J331">
        <v>3</v>
      </c>
      <c r="K331">
        <v>11</v>
      </c>
      <c r="L331" t="s">
        <v>21</v>
      </c>
      <c r="M331">
        <v>4</v>
      </c>
      <c r="N331" t="s">
        <v>21</v>
      </c>
      <c r="O331" s="2">
        <v>45329</v>
      </c>
    </row>
    <row r="332" spans="1:15" x14ac:dyDescent="0.35">
      <c r="A332" t="s">
        <v>369</v>
      </c>
      <c r="B332">
        <v>54</v>
      </c>
      <c r="C332" t="s">
        <v>16</v>
      </c>
      <c r="D332" t="s">
        <v>30</v>
      </c>
      <c r="E332" t="s">
        <v>34</v>
      </c>
      <c r="F332" t="s">
        <v>25</v>
      </c>
      <c r="G332" t="s">
        <v>37</v>
      </c>
      <c r="H332">
        <v>39706</v>
      </c>
      <c r="I332">
        <v>2</v>
      </c>
      <c r="J332">
        <v>1</v>
      </c>
      <c r="K332">
        <v>14</v>
      </c>
      <c r="L332" t="s">
        <v>27</v>
      </c>
      <c r="M332">
        <v>3</v>
      </c>
      <c r="N332" t="s">
        <v>27</v>
      </c>
      <c r="O332" s="2">
        <v>43235</v>
      </c>
    </row>
    <row r="333" spans="1:15" x14ac:dyDescent="0.35">
      <c r="A333" t="s">
        <v>370</v>
      </c>
      <c r="B333">
        <v>36</v>
      </c>
      <c r="C333" t="s">
        <v>16</v>
      </c>
      <c r="D333" t="s">
        <v>17</v>
      </c>
      <c r="E333" t="s">
        <v>18</v>
      </c>
      <c r="F333" t="s">
        <v>35</v>
      </c>
      <c r="G333" t="s">
        <v>37</v>
      </c>
      <c r="H333">
        <v>112405</v>
      </c>
      <c r="I333">
        <v>1</v>
      </c>
      <c r="J333">
        <v>4</v>
      </c>
      <c r="K333">
        <v>10</v>
      </c>
      <c r="L333" t="s">
        <v>21</v>
      </c>
      <c r="M333">
        <v>4</v>
      </c>
      <c r="N333" t="s">
        <v>21</v>
      </c>
      <c r="O333" s="2">
        <v>43731</v>
      </c>
    </row>
    <row r="334" spans="1:15" x14ac:dyDescent="0.35">
      <c r="A334" t="s">
        <v>371</v>
      </c>
      <c r="B334">
        <v>24</v>
      </c>
      <c r="C334" t="s">
        <v>16</v>
      </c>
      <c r="D334" t="s">
        <v>23</v>
      </c>
      <c r="E334" t="s">
        <v>24</v>
      </c>
      <c r="F334" t="s">
        <v>17</v>
      </c>
      <c r="G334" t="s">
        <v>37</v>
      </c>
      <c r="H334">
        <v>35658</v>
      </c>
      <c r="I334">
        <v>1</v>
      </c>
      <c r="J334">
        <v>2</v>
      </c>
      <c r="K334">
        <v>1</v>
      </c>
      <c r="L334" t="s">
        <v>27</v>
      </c>
      <c r="M334">
        <v>3</v>
      </c>
      <c r="N334" t="s">
        <v>27</v>
      </c>
      <c r="O334" s="2">
        <v>44120</v>
      </c>
    </row>
    <row r="335" spans="1:15" x14ac:dyDescent="0.35">
      <c r="A335" t="s">
        <v>372</v>
      </c>
      <c r="B335">
        <v>40</v>
      </c>
      <c r="C335" t="s">
        <v>16</v>
      </c>
      <c r="D335" t="s">
        <v>17</v>
      </c>
      <c r="E335" t="s">
        <v>18</v>
      </c>
      <c r="F335" t="s">
        <v>17</v>
      </c>
      <c r="G335" t="s">
        <v>20</v>
      </c>
      <c r="H335">
        <v>76877</v>
      </c>
      <c r="I335">
        <v>4</v>
      </c>
      <c r="J335">
        <v>4</v>
      </c>
      <c r="K335">
        <v>6</v>
      </c>
      <c r="L335" t="s">
        <v>27</v>
      </c>
      <c r="M335">
        <v>3</v>
      </c>
      <c r="N335" t="s">
        <v>21</v>
      </c>
      <c r="O335" s="2">
        <v>45370</v>
      </c>
    </row>
    <row r="336" spans="1:15" x14ac:dyDescent="0.35">
      <c r="A336" t="s">
        <v>373</v>
      </c>
      <c r="B336">
        <v>32</v>
      </c>
      <c r="C336" t="s">
        <v>16</v>
      </c>
      <c r="D336" t="s">
        <v>17</v>
      </c>
      <c r="E336" t="s">
        <v>46</v>
      </c>
      <c r="F336" t="s">
        <v>19</v>
      </c>
      <c r="G336" t="s">
        <v>20</v>
      </c>
      <c r="H336">
        <v>96188</v>
      </c>
      <c r="I336">
        <v>1</v>
      </c>
      <c r="J336">
        <v>2</v>
      </c>
      <c r="K336">
        <v>7</v>
      </c>
      <c r="L336" t="s">
        <v>21</v>
      </c>
      <c r="M336">
        <v>4</v>
      </c>
      <c r="N336" t="s">
        <v>21</v>
      </c>
      <c r="O336" s="2">
        <v>43088</v>
      </c>
    </row>
    <row r="337" spans="1:15" x14ac:dyDescent="0.35">
      <c r="A337" t="s">
        <v>374</v>
      </c>
      <c r="B337">
        <v>31</v>
      </c>
      <c r="C337" t="s">
        <v>16</v>
      </c>
      <c r="D337" t="s">
        <v>17</v>
      </c>
      <c r="E337" t="s">
        <v>46</v>
      </c>
      <c r="F337" t="s">
        <v>35</v>
      </c>
      <c r="G337" t="s">
        <v>26</v>
      </c>
      <c r="H337">
        <v>80373</v>
      </c>
      <c r="I337">
        <v>1</v>
      </c>
      <c r="J337">
        <v>1</v>
      </c>
      <c r="K337">
        <v>2</v>
      </c>
      <c r="L337" t="s">
        <v>27</v>
      </c>
      <c r="M337">
        <v>3</v>
      </c>
      <c r="N337" t="s">
        <v>21</v>
      </c>
      <c r="O337" s="2">
        <v>43072</v>
      </c>
    </row>
    <row r="338" spans="1:15" x14ac:dyDescent="0.35">
      <c r="A338" t="s">
        <v>375</v>
      </c>
      <c r="B338">
        <v>45</v>
      </c>
      <c r="C338" t="s">
        <v>29</v>
      </c>
      <c r="D338" t="s">
        <v>30</v>
      </c>
      <c r="E338" t="s">
        <v>40</v>
      </c>
      <c r="F338" t="s">
        <v>17</v>
      </c>
      <c r="G338" t="s">
        <v>26</v>
      </c>
      <c r="H338">
        <v>87444</v>
      </c>
      <c r="I338">
        <v>4</v>
      </c>
      <c r="J338">
        <v>2</v>
      </c>
      <c r="K338">
        <v>22</v>
      </c>
      <c r="L338" t="s">
        <v>27</v>
      </c>
      <c r="M338">
        <v>4</v>
      </c>
      <c r="N338" t="s">
        <v>21</v>
      </c>
      <c r="O338" s="2">
        <v>45128</v>
      </c>
    </row>
    <row r="339" spans="1:15" x14ac:dyDescent="0.35">
      <c r="A339" t="s">
        <v>376</v>
      </c>
      <c r="B339">
        <v>49</v>
      </c>
      <c r="C339" t="s">
        <v>29</v>
      </c>
      <c r="D339" t="s">
        <v>17</v>
      </c>
      <c r="E339" t="s">
        <v>18</v>
      </c>
      <c r="F339" t="s">
        <v>25</v>
      </c>
      <c r="G339" t="s">
        <v>20</v>
      </c>
      <c r="H339">
        <v>80539</v>
      </c>
      <c r="I339">
        <v>2</v>
      </c>
      <c r="J339">
        <v>1</v>
      </c>
      <c r="K339">
        <v>8</v>
      </c>
      <c r="L339" t="s">
        <v>27</v>
      </c>
      <c r="M339">
        <v>3</v>
      </c>
      <c r="N339" t="s">
        <v>21</v>
      </c>
      <c r="O339" s="2">
        <v>45352</v>
      </c>
    </row>
    <row r="340" spans="1:15" x14ac:dyDescent="0.35">
      <c r="A340" t="s">
        <v>377</v>
      </c>
      <c r="B340">
        <v>58</v>
      </c>
      <c r="C340" t="s">
        <v>16</v>
      </c>
      <c r="D340" t="s">
        <v>17</v>
      </c>
      <c r="E340" t="s">
        <v>18</v>
      </c>
      <c r="F340" t="s">
        <v>25</v>
      </c>
      <c r="G340" t="s">
        <v>37</v>
      </c>
      <c r="H340">
        <v>18942</v>
      </c>
      <c r="I340">
        <v>4</v>
      </c>
      <c r="J340">
        <v>2</v>
      </c>
      <c r="K340">
        <v>16</v>
      </c>
      <c r="L340" t="s">
        <v>27</v>
      </c>
      <c r="M340">
        <v>3</v>
      </c>
      <c r="N340" t="s">
        <v>21</v>
      </c>
      <c r="O340" s="2">
        <v>44972</v>
      </c>
    </row>
    <row r="341" spans="1:15" x14ac:dyDescent="0.35">
      <c r="A341" t="s">
        <v>378</v>
      </c>
      <c r="B341">
        <v>38</v>
      </c>
      <c r="C341" t="s">
        <v>16</v>
      </c>
      <c r="D341" t="s">
        <v>17</v>
      </c>
      <c r="E341" t="s">
        <v>46</v>
      </c>
      <c r="F341" t="s">
        <v>32</v>
      </c>
      <c r="G341" t="s">
        <v>26</v>
      </c>
      <c r="H341">
        <v>98200</v>
      </c>
      <c r="I341">
        <v>3</v>
      </c>
      <c r="J341">
        <v>4</v>
      </c>
      <c r="K341">
        <v>11</v>
      </c>
      <c r="L341" t="s">
        <v>21</v>
      </c>
      <c r="M341">
        <v>3</v>
      </c>
      <c r="N341" t="s">
        <v>21</v>
      </c>
      <c r="O341" s="2">
        <v>45957</v>
      </c>
    </row>
    <row r="342" spans="1:15" x14ac:dyDescent="0.35">
      <c r="A342" t="s">
        <v>379</v>
      </c>
      <c r="B342">
        <v>38</v>
      </c>
      <c r="C342" t="s">
        <v>29</v>
      </c>
      <c r="D342" t="s">
        <v>17</v>
      </c>
      <c r="E342" t="s">
        <v>46</v>
      </c>
      <c r="F342" t="s">
        <v>35</v>
      </c>
      <c r="G342" t="s">
        <v>20</v>
      </c>
      <c r="H342">
        <v>119475</v>
      </c>
      <c r="I342">
        <v>4</v>
      </c>
      <c r="J342">
        <v>2</v>
      </c>
      <c r="K342">
        <v>11</v>
      </c>
      <c r="L342" t="s">
        <v>21</v>
      </c>
      <c r="M342">
        <v>3</v>
      </c>
      <c r="N342" t="s">
        <v>21</v>
      </c>
      <c r="O342" s="2">
        <v>43887</v>
      </c>
    </row>
    <row r="343" spans="1:15" x14ac:dyDescent="0.35">
      <c r="A343" t="s">
        <v>380</v>
      </c>
      <c r="B343">
        <v>54</v>
      </c>
      <c r="C343" t="s">
        <v>16</v>
      </c>
      <c r="D343" t="s">
        <v>23</v>
      </c>
      <c r="E343" t="s">
        <v>24</v>
      </c>
      <c r="F343" t="s">
        <v>25</v>
      </c>
      <c r="G343" t="s">
        <v>37</v>
      </c>
      <c r="H343">
        <v>62359</v>
      </c>
      <c r="I343">
        <v>1</v>
      </c>
      <c r="J343">
        <v>2</v>
      </c>
      <c r="K343">
        <v>25</v>
      </c>
      <c r="L343" t="s">
        <v>21</v>
      </c>
      <c r="M343">
        <v>4</v>
      </c>
      <c r="N343" t="s">
        <v>21</v>
      </c>
      <c r="O343" s="2">
        <v>42048</v>
      </c>
    </row>
    <row r="344" spans="1:15" x14ac:dyDescent="0.35">
      <c r="A344" t="s">
        <v>381</v>
      </c>
      <c r="B344">
        <v>27</v>
      </c>
      <c r="C344" t="s">
        <v>29</v>
      </c>
      <c r="D344" t="s">
        <v>17</v>
      </c>
      <c r="E344" t="s">
        <v>46</v>
      </c>
      <c r="F344" t="s">
        <v>17</v>
      </c>
      <c r="G344" t="s">
        <v>26</v>
      </c>
      <c r="H344">
        <v>47067</v>
      </c>
      <c r="I344">
        <v>3</v>
      </c>
      <c r="J344">
        <v>1</v>
      </c>
      <c r="K344">
        <v>2</v>
      </c>
      <c r="L344" t="s">
        <v>27</v>
      </c>
      <c r="M344">
        <v>3</v>
      </c>
      <c r="N344" t="s">
        <v>21</v>
      </c>
      <c r="O344" s="2">
        <v>45153</v>
      </c>
    </row>
    <row r="345" spans="1:15" x14ac:dyDescent="0.35">
      <c r="A345" t="s">
        <v>382</v>
      </c>
      <c r="B345">
        <v>25</v>
      </c>
      <c r="C345" t="s">
        <v>16</v>
      </c>
      <c r="D345" t="s">
        <v>17</v>
      </c>
      <c r="E345" t="s">
        <v>46</v>
      </c>
      <c r="F345" t="s">
        <v>17</v>
      </c>
      <c r="G345" t="s">
        <v>20</v>
      </c>
      <c r="H345">
        <v>75536</v>
      </c>
      <c r="I345">
        <v>1</v>
      </c>
      <c r="J345">
        <v>2</v>
      </c>
      <c r="K345">
        <v>3</v>
      </c>
      <c r="L345" t="s">
        <v>27</v>
      </c>
      <c r="M345">
        <v>3</v>
      </c>
      <c r="N345" t="s">
        <v>27</v>
      </c>
      <c r="O345" s="2">
        <v>42280</v>
      </c>
    </row>
    <row r="346" spans="1:15" x14ac:dyDescent="0.35">
      <c r="A346" t="s">
        <v>383</v>
      </c>
      <c r="B346">
        <v>45</v>
      </c>
      <c r="C346" t="s">
        <v>29</v>
      </c>
      <c r="D346" t="s">
        <v>17</v>
      </c>
      <c r="E346" t="s">
        <v>18</v>
      </c>
      <c r="F346" t="s">
        <v>35</v>
      </c>
      <c r="G346" t="s">
        <v>37</v>
      </c>
      <c r="H346">
        <v>18037</v>
      </c>
      <c r="I346">
        <v>2</v>
      </c>
      <c r="J346">
        <v>1</v>
      </c>
      <c r="K346">
        <v>20</v>
      </c>
      <c r="L346" t="s">
        <v>27</v>
      </c>
      <c r="M346">
        <v>3</v>
      </c>
      <c r="N346" t="s">
        <v>21</v>
      </c>
      <c r="O346" s="2">
        <v>45277</v>
      </c>
    </row>
    <row r="347" spans="1:15" x14ac:dyDescent="0.35">
      <c r="A347" t="s">
        <v>384</v>
      </c>
      <c r="B347">
        <v>55</v>
      </c>
      <c r="C347" t="s">
        <v>29</v>
      </c>
      <c r="D347" t="s">
        <v>30</v>
      </c>
      <c r="E347" t="s">
        <v>57</v>
      </c>
      <c r="F347" t="s">
        <v>32</v>
      </c>
      <c r="G347" t="s">
        <v>20</v>
      </c>
      <c r="H347">
        <v>110225</v>
      </c>
      <c r="I347">
        <v>1</v>
      </c>
      <c r="J347">
        <v>1</v>
      </c>
      <c r="K347">
        <v>23</v>
      </c>
      <c r="L347" t="s">
        <v>27</v>
      </c>
      <c r="M347">
        <v>3</v>
      </c>
      <c r="N347" t="s">
        <v>21</v>
      </c>
      <c r="O347" s="2">
        <v>44856</v>
      </c>
    </row>
    <row r="348" spans="1:15" x14ac:dyDescent="0.35">
      <c r="A348" t="s">
        <v>385</v>
      </c>
      <c r="B348">
        <v>51</v>
      </c>
      <c r="C348" t="s">
        <v>16</v>
      </c>
      <c r="D348" t="s">
        <v>17</v>
      </c>
      <c r="E348" t="s">
        <v>18</v>
      </c>
      <c r="F348" t="s">
        <v>17</v>
      </c>
      <c r="G348" t="s">
        <v>37</v>
      </c>
      <c r="H348">
        <v>18609</v>
      </c>
      <c r="I348">
        <v>3</v>
      </c>
      <c r="J348">
        <v>2</v>
      </c>
      <c r="K348">
        <v>18</v>
      </c>
      <c r="L348" t="s">
        <v>21</v>
      </c>
      <c r="M348">
        <v>4</v>
      </c>
      <c r="N348" t="s">
        <v>21</v>
      </c>
      <c r="O348" s="2">
        <v>42877</v>
      </c>
    </row>
    <row r="349" spans="1:15" x14ac:dyDescent="0.35">
      <c r="A349" t="s">
        <v>386</v>
      </c>
      <c r="B349">
        <v>54</v>
      </c>
      <c r="C349" t="s">
        <v>16</v>
      </c>
      <c r="D349" t="s">
        <v>30</v>
      </c>
      <c r="E349" t="s">
        <v>34</v>
      </c>
      <c r="F349" t="s">
        <v>32</v>
      </c>
      <c r="G349" t="s">
        <v>37</v>
      </c>
      <c r="H349">
        <v>93352</v>
      </c>
      <c r="I349">
        <v>3</v>
      </c>
      <c r="J349">
        <v>4</v>
      </c>
      <c r="K349">
        <v>17</v>
      </c>
      <c r="L349" t="s">
        <v>21</v>
      </c>
      <c r="M349">
        <v>4</v>
      </c>
      <c r="N349" t="s">
        <v>21</v>
      </c>
      <c r="O349" s="2">
        <v>45966</v>
      </c>
    </row>
    <row r="350" spans="1:15" x14ac:dyDescent="0.35">
      <c r="A350" t="s">
        <v>387</v>
      </c>
      <c r="B350">
        <v>23</v>
      </c>
      <c r="C350" t="s">
        <v>29</v>
      </c>
      <c r="D350" t="s">
        <v>17</v>
      </c>
      <c r="E350" t="s">
        <v>46</v>
      </c>
      <c r="F350" t="s">
        <v>52</v>
      </c>
      <c r="G350" t="s">
        <v>37</v>
      </c>
      <c r="H350">
        <v>51792</v>
      </c>
      <c r="I350">
        <v>1</v>
      </c>
      <c r="J350">
        <v>4</v>
      </c>
      <c r="K350">
        <v>0</v>
      </c>
      <c r="L350" t="s">
        <v>21</v>
      </c>
      <c r="M350">
        <v>3</v>
      </c>
      <c r="N350" t="s">
        <v>21</v>
      </c>
      <c r="O350" s="2">
        <v>43888</v>
      </c>
    </row>
    <row r="351" spans="1:15" x14ac:dyDescent="0.35">
      <c r="A351" t="s">
        <v>388</v>
      </c>
      <c r="B351">
        <v>38</v>
      </c>
      <c r="C351" t="s">
        <v>29</v>
      </c>
      <c r="D351" t="s">
        <v>17</v>
      </c>
      <c r="E351" t="s">
        <v>18</v>
      </c>
      <c r="F351" t="s">
        <v>32</v>
      </c>
      <c r="G351" t="s">
        <v>37</v>
      </c>
      <c r="H351">
        <v>30190</v>
      </c>
      <c r="I351">
        <v>4</v>
      </c>
      <c r="J351">
        <v>3</v>
      </c>
      <c r="K351">
        <v>9</v>
      </c>
      <c r="L351" t="s">
        <v>27</v>
      </c>
      <c r="M351">
        <v>3</v>
      </c>
      <c r="N351" t="s">
        <v>21</v>
      </c>
      <c r="O351" s="2">
        <v>43467</v>
      </c>
    </row>
    <row r="352" spans="1:15" x14ac:dyDescent="0.35">
      <c r="A352" t="s">
        <v>389</v>
      </c>
      <c r="B352">
        <v>39</v>
      </c>
      <c r="C352" t="s">
        <v>16</v>
      </c>
      <c r="D352" t="s">
        <v>23</v>
      </c>
      <c r="E352" t="s">
        <v>42</v>
      </c>
      <c r="F352" t="s">
        <v>25</v>
      </c>
      <c r="G352" t="s">
        <v>20</v>
      </c>
      <c r="H352">
        <v>83404</v>
      </c>
      <c r="I352">
        <v>2</v>
      </c>
      <c r="J352">
        <v>2</v>
      </c>
      <c r="K352">
        <v>6</v>
      </c>
      <c r="L352" t="s">
        <v>27</v>
      </c>
      <c r="M352">
        <v>3</v>
      </c>
      <c r="N352" t="s">
        <v>21</v>
      </c>
      <c r="O352" s="2">
        <v>43698</v>
      </c>
    </row>
    <row r="353" spans="1:15" x14ac:dyDescent="0.35">
      <c r="A353" t="s">
        <v>390</v>
      </c>
      <c r="B353">
        <v>31</v>
      </c>
      <c r="C353" t="s">
        <v>29</v>
      </c>
      <c r="D353" t="s">
        <v>17</v>
      </c>
      <c r="E353" t="s">
        <v>46</v>
      </c>
      <c r="F353" t="s">
        <v>52</v>
      </c>
      <c r="G353" t="s">
        <v>26</v>
      </c>
      <c r="H353">
        <v>28287</v>
      </c>
      <c r="I353">
        <v>4</v>
      </c>
      <c r="J353">
        <v>1</v>
      </c>
      <c r="K353">
        <v>1</v>
      </c>
      <c r="L353" t="s">
        <v>27</v>
      </c>
      <c r="M353">
        <v>3</v>
      </c>
      <c r="N353" t="s">
        <v>21</v>
      </c>
      <c r="O353" s="2">
        <v>45045</v>
      </c>
    </row>
    <row r="354" spans="1:15" x14ac:dyDescent="0.35">
      <c r="A354" t="s">
        <v>391</v>
      </c>
      <c r="B354">
        <v>33</v>
      </c>
      <c r="C354" t="s">
        <v>29</v>
      </c>
      <c r="D354" t="s">
        <v>30</v>
      </c>
      <c r="E354" t="s">
        <v>40</v>
      </c>
      <c r="F354" t="s">
        <v>52</v>
      </c>
      <c r="G354" t="s">
        <v>26</v>
      </c>
      <c r="H354">
        <v>47110</v>
      </c>
      <c r="I354">
        <v>2</v>
      </c>
      <c r="J354">
        <v>1</v>
      </c>
      <c r="K354">
        <v>6</v>
      </c>
      <c r="L354" t="s">
        <v>21</v>
      </c>
      <c r="M354">
        <v>4</v>
      </c>
      <c r="N354" t="s">
        <v>21</v>
      </c>
      <c r="O354" s="2">
        <v>42271</v>
      </c>
    </row>
    <row r="355" spans="1:15" x14ac:dyDescent="0.35">
      <c r="A355" t="s">
        <v>392</v>
      </c>
      <c r="B355">
        <v>29</v>
      </c>
      <c r="C355" t="s">
        <v>29</v>
      </c>
      <c r="D355" t="s">
        <v>23</v>
      </c>
      <c r="E355" t="s">
        <v>55</v>
      </c>
      <c r="F355" t="s">
        <v>32</v>
      </c>
      <c r="G355" t="s">
        <v>26</v>
      </c>
      <c r="H355">
        <v>108336</v>
      </c>
      <c r="I355">
        <v>1</v>
      </c>
      <c r="J355">
        <v>1</v>
      </c>
      <c r="K355">
        <v>5</v>
      </c>
      <c r="L355" t="s">
        <v>21</v>
      </c>
      <c r="M355">
        <v>3</v>
      </c>
      <c r="N355" t="s">
        <v>21</v>
      </c>
      <c r="O355" s="2">
        <v>42830</v>
      </c>
    </row>
    <row r="356" spans="1:15" x14ac:dyDescent="0.35">
      <c r="A356" t="s">
        <v>393</v>
      </c>
      <c r="B356">
        <v>57</v>
      </c>
      <c r="C356" t="s">
        <v>29</v>
      </c>
      <c r="D356" t="s">
        <v>30</v>
      </c>
      <c r="E356" t="s">
        <v>57</v>
      </c>
      <c r="F356" t="s">
        <v>25</v>
      </c>
      <c r="G356" t="s">
        <v>37</v>
      </c>
      <c r="H356">
        <v>53311</v>
      </c>
      <c r="I356">
        <v>4</v>
      </c>
      <c r="J356">
        <v>3</v>
      </c>
      <c r="K356">
        <v>7</v>
      </c>
      <c r="L356" t="s">
        <v>21</v>
      </c>
      <c r="M356">
        <v>3</v>
      </c>
      <c r="N356" t="s">
        <v>21</v>
      </c>
      <c r="O356" s="2">
        <v>46090</v>
      </c>
    </row>
    <row r="357" spans="1:15" x14ac:dyDescent="0.35">
      <c r="A357" t="s">
        <v>394</v>
      </c>
      <c r="B357">
        <v>45</v>
      </c>
      <c r="C357" t="s">
        <v>16</v>
      </c>
      <c r="D357" t="s">
        <v>17</v>
      </c>
      <c r="E357" t="s">
        <v>46</v>
      </c>
      <c r="F357" t="s">
        <v>17</v>
      </c>
      <c r="G357" t="s">
        <v>37</v>
      </c>
      <c r="H357">
        <v>77077</v>
      </c>
      <c r="I357">
        <v>2</v>
      </c>
      <c r="J357">
        <v>2</v>
      </c>
      <c r="K357">
        <v>8</v>
      </c>
      <c r="L357" t="s">
        <v>21</v>
      </c>
      <c r="M357">
        <v>3</v>
      </c>
      <c r="N357" t="s">
        <v>27</v>
      </c>
      <c r="O357" s="2">
        <v>44216</v>
      </c>
    </row>
    <row r="358" spans="1:15" x14ac:dyDescent="0.35">
      <c r="A358" t="s">
        <v>395</v>
      </c>
      <c r="B358">
        <v>31</v>
      </c>
      <c r="C358" t="s">
        <v>29</v>
      </c>
      <c r="D358" t="s">
        <v>30</v>
      </c>
      <c r="E358" t="s">
        <v>57</v>
      </c>
      <c r="F358" t="s">
        <v>32</v>
      </c>
      <c r="G358" t="s">
        <v>37</v>
      </c>
      <c r="H358">
        <v>19276</v>
      </c>
      <c r="I358">
        <v>2</v>
      </c>
      <c r="J358">
        <v>4</v>
      </c>
      <c r="K358">
        <v>7</v>
      </c>
      <c r="L358" t="s">
        <v>27</v>
      </c>
      <c r="M358">
        <v>4</v>
      </c>
      <c r="N358" t="s">
        <v>27</v>
      </c>
      <c r="O358" s="2">
        <v>44591</v>
      </c>
    </row>
    <row r="359" spans="1:15" x14ac:dyDescent="0.35">
      <c r="A359" t="s">
        <v>396</v>
      </c>
      <c r="B359">
        <v>47</v>
      </c>
      <c r="C359" t="s">
        <v>29</v>
      </c>
      <c r="D359" t="s">
        <v>17</v>
      </c>
      <c r="E359" t="s">
        <v>18</v>
      </c>
      <c r="F359" t="s">
        <v>35</v>
      </c>
      <c r="G359" t="s">
        <v>37</v>
      </c>
      <c r="H359">
        <v>39409</v>
      </c>
      <c r="I359">
        <v>1</v>
      </c>
      <c r="J359">
        <v>2</v>
      </c>
      <c r="K359">
        <v>22</v>
      </c>
      <c r="L359" t="s">
        <v>27</v>
      </c>
      <c r="M359">
        <v>3</v>
      </c>
      <c r="N359" t="s">
        <v>21</v>
      </c>
      <c r="O359" s="2">
        <v>42793</v>
      </c>
    </row>
    <row r="360" spans="1:15" x14ac:dyDescent="0.35">
      <c r="A360" t="s">
        <v>397</v>
      </c>
      <c r="B360">
        <v>45</v>
      </c>
      <c r="C360" t="s">
        <v>16</v>
      </c>
      <c r="D360" t="s">
        <v>30</v>
      </c>
      <c r="E360" t="s">
        <v>31</v>
      </c>
      <c r="F360" t="s">
        <v>32</v>
      </c>
      <c r="G360" t="s">
        <v>37</v>
      </c>
      <c r="H360">
        <v>20599</v>
      </c>
      <c r="I360">
        <v>4</v>
      </c>
      <c r="J360">
        <v>1</v>
      </c>
      <c r="K360">
        <v>11</v>
      </c>
      <c r="L360" t="s">
        <v>21</v>
      </c>
      <c r="M360">
        <v>3</v>
      </c>
      <c r="N360" t="s">
        <v>21</v>
      </c>
      <c r="O360" s="2">
        <v>43634</v>
      </c>
    </row>
    <row r="361" spans="1:15" x14ac:dyDescent="0.35">
      <c r="A361" t="s">
        <v>398</v>
      </c>
      <c r="B361">
        <v>50</v>
      </c>
      <c r="C361" t="s">
        <v>29</v>
      </c>
      <c r="D361" t="s">
        <v>30</v>
      </c>
      <c r="E361" t="s">
        <v>40</v>
      </c>
      <c r="F361" t="s">
        <v>35</v>
      </c>
      <c r="G361" t="s">
        <v>26</v>
      </c>
      <c r="H361">
        <v>98434</v>
      </c>
      <c r="I361">
        <v>3</v>
      </c>
      <c r="J361">
        <v>4</v>
      </c>
      <c r="K361">
        <v>12</v>
      </c>
      <c r="L361" t="s">
        <v>27</v>
      </c>
      <c r="M361">
        <v>3</v>
      </c>
      <c r="N361" t="s">
        <v>21</v>
      </c>
      <c r="O361" s="2">
        <v>44768</v>
      </c>
    </row>
    <row r="362" spans="1:15" x14ac:dyDescent="0.35">
      <c r="A362" t="s">
        <v>399</v>
      </c>
      <c r="B362">
        <v>26</v>
      </c>
      <c r="C362" t="s">
        <v>29</v>
      </c>
      <c r="D362" t="s">
        <v>17</v>
      </c>
      <c r="E362" t="s">
        <v>46</v>
      </c>
      <c r="F362" t="s">
        <v>17</v>
      </c>
      <c r="G362" t="s">
        <v>26</v>
      </c>
      <c r="H362">
        <v>63039</v>
      </c>
      <c r="I362">
        <v>2</v>
      </c>
      <c r="J362">
        <v>3</v>
      </c>
      <c r="K362">
        <v>1</v>
      </c>
      <c r="L362" t="s">
        <v>27</v>
      </c>
      <c r="M362">
        <v>3</v>
      </c>
      <c r="N362" t="s">
        <v>21</v>
      </c>
      <c r="O362" s="2">
        <v>44391</v>
      </c>
    </row>
    <row r="363" spans="1:15" x14ac:dyDescent="0.35">
      <c r="A363" t="s">
        <v>400</v>
      </c>
      <c r="B363">
        <v>50</v>
      </c>
      <c r="C363" t="s">
        <v>16</v>
      </c>
      <c r="D363" t="s">
        <v>30</v>
      </c>
      <c r="E363" t="s">
        <v>31</v>
      </c>
      <c r="F363" t="s">
        <v>35</v>
      </c>
      <c r="G363" t="s">
        <v>20</v>
      </c>
      <c r="H363">
        <v>94928</v>
      </c>
      <c r="I363">
        <v>4</v>
      </c>
      <c r="J363">
        <v>4</v>
      </c>
      <c r="K363">
        <v>23</v>
      </c>
      <c r="L363" t="s">
        <v>21</v>
      </c>
      <c r="M363">
        <v>3</v>
      </c>
      <c r="N363" t="s">
        <v>21</v>
      </c>
      <c r="O363" s="2">
        <v>42194</v>
      </c>
    </row>
    <row r="364" spans="1:15" x14ac:dyDescent="0.35">
      <c r="A364" t="s">
        <v>401</v>
      </c>
      <c r="B364">
        <v>27</v>
      </c>
      <c r="C364" t="s">
        <v>16</v>
      </c>
      <c r="D364" t="s">
        <v>17</v>
      </c>
      <c r="E364" t="s">
        <v>46</v>
      </c>
      <c r="F364" t="s">
        <v>52</v>
      </c>
      <c r="G364" t="s">
        <v>26</v>
      </c>
      <c r="H364">
        <v>70041</v>
      </c>
      <c r="I364">
        <v>1</v>
      </c>
      <c r="J364">
        <v>1</v>
      </c>
      <c r="K364">
        <v>1</v>
      </c>
      <c r="L364" t="s">
        <v>27</v>
      </c>
      <c r="M364">
        <v>3</v>
      </c>
      <c r="N364" t="s">
        <v>21</v>
      </c>
      <c r="O364" s="2">
        <v>42445</v>
      </c>
    </row>
    <row r="365" spans="1:15" x14ac:dyDescent="0.35">
      <c r="A365" t="s">
        <v>402</v>
      </c>
      <c r="B365">
        <v>38</v>
      </c>
      <c r="C365" t="s">
        <v>29</v>
      </c>
      <c r="D365" t="s">
        <v>23</v>
      </c>
      <c r="E365" t="s">
        <v>24</v>
      </c>
      <c r="F365" t="s">
        <v>35</v>
      </c>
      <c r="G365" t="s">
        <v>20</v>
      </c>
      <c r="H365">
        <v>103830</v>
      </c>
      <c r="I365">
        <v>4</v>
      </c>
      <c r="J365">
        <v>3</v>
      </c>
      <c r="K365">
        <v>2</v>
      </c>
      <c r="L365" t="s">
        <v>27</v>
      </c>
      <c r="M365">
        <v>3</v>
      </c>
      <c r="N365" t="s">
        <v>21</v>
      </c>
      <c r="O365" s="2">
        <v>44332</v>
      </c>
    </row>
    <row r="366" spans="1:15" x14ac:dyDescent="0.35">
      <c r="A366" t="s">
        <v>403</v>
      </c>
      <c r="B366">
        <v>32</v>
      </c>
      <c r="C366" t="s">
        <v>29</v>
      </c>
      <c r="D366" t="s">
        <v>23</v>
      </c>
      <c r="E366" t="s">
        <v>42</v>
      </c>
      <c r="F366" t="s">
        <v>25</v>
      </c>
      <c r="G366" t="s">
        <v>26</v>
      </c>
      <c r="H366">
        <v>104972</v>
      </c>
      <c r="I366">
        <v>3</v>
      </c>
      <c r="J366">
        <v>3</v>
      </c>
      <c r="K366">
        <v>0</v>
      </c>
      <c r="L366" t="s">
        <v>27</v>
      </c>
      <c r="M366">
        <v>4</v>
      </c>
      <c r="N366" t="s">
        <v>21</v>
      </c>
      <c r="O366" s="2">
        <v>44236</v>
      </c>
    </row>
    <row r="367" spans="1:15" x14ac:dyDescent="0.35">
      <c r="A367" t="s">
        <v>404</v>
      </c>
      <c r="B367">
        <v>51</v>
      </c>
      <c r="C367" t="s">
        <v>16</v>
      </c>
      <c r="D367" t="s">
        <v>17</v>
      </c>
      <c r="E367" t="s">
        <v>18</v>
      </c>
      <c r="F367" t="s">
        <v>52</v>
      </c>
      <c r="G367" t="s">
        <v>37</v>
      </c>
      <c r="H367">
        <v>101858</v>
      </c>
      <c r="I367">
        <v>3</v>
      </c>
      <c r="J367">
        <v>3</v>
      </c>
      <c r="K367">
        <v>16</v>
      </c>
      <c r="L367" t="s">
        <v>21</v>
      </c>
      <c r="M367">
        <v>4</v>
      </c>
      <c r="N367" t="s">
        <v>21</v>
      </c>
      <c r="O367" s="2">
        <v>43865</v>
      </c>
    </row>
    <row r="368" spans="1:15" x14ac:dyDescent="0.35">
      <c r="A368" t="s">
        <v>405</v>
      </c>
      <c r="B368">
        <v>38</v>
      </c>
      <c r="C368" t="s">
        <v>16</v>
      </c>
      <c r="D368" t="s">
        <v>30</v>
      </c>
      <c r="E368" t="s">
        <v>40</v>
      </c>
      <c r="F368" t="s">
        <v>35</v>
      </c>
      <c r="G368" t="s">
        <v>37</v>
      </c>
      <c r="H368">
        <v>19383</v>
      </c>
      <c r="I368">
        <v>1</v>
      </c>
      <c r="J368">
        <v>2</v>
      </c>
      <c r="K368">
        <v>9</v>
      </c>
      <c r="L368" t="s">
        <v>27</v>
      </c>
      <c r="M368">
        <v>3</v>
      </c>
      <c r="N368" t="s">
        <v>21</v>
      </c>
      <c r="O368" s="2">
        <v>45848</v>
      </c>
    </row>
    <row r="369" spans="1:15" x14ac:dyDescent="0.35">
      <c r="A369" t="s">
        <v>406</v>
      </c>
      <c r="B369">
        <v>22</v>
      </c>
      <c r="C369" t="s">
        <v>29</v>
      </c>
      <c r="D369" t="s">
        <v>30</v>
      </c>
      <c r="E369" t="s">
        <v>31</v>
      </c>
      <c r="F369" t="s">
        <v>52</v>
      </c>
      <c r="G369" t="s">
        <v>20</v>
      </c>
      <c r="H369">
        <v>96250</v>
      </c>
      <c r="I369">
        <v>2</v>
      </c>
      <c r="J369">
        <v>1</v>
      </c>
      <c r="K369">
        <v>1</v>
      </c>
      <c r="L369" t="s">
        <v>21</v>
      </c>
      <c r="M369">
        <v>3</v>
      </c>
      <c r="N369" t="s">
        <v>27</v>
      </c>
      <c r="O369" s="2">
        <v>45377</v>
      </c>
    </row>
    <row r="370" spans="1:15" x14ac:dyDescent="0.35">
      <c r="A370" t="s">
        <v>407</v>
      </c>
      <c r="B370">
        <v>46</v>
      </c>
      <c r="C370" t="s">
        <v>29</v>
      </c>
      <c r="D370" t="s">
        <v>23</v>
      </c>
      <c r="E370" t="s">
        <v>42</v>
      </c>
      <c r="F370" t="s">
        <v>35</v>
      </c>
      <c r="G370" t="s">
        <v>26</v>
      </c>
      <c r="H370">
        <v>52469</v>
      </c>
      <c r="I370">
        <v>1</v>
      </c>
      <c r="J370">
        <v>4</v>
      </c>
      <c r="K370">
        <v>7</v>
      </c>
      <c r="L370" t="s">
        <v>21</v>
      </c>
      <c r="M370">
        <v>3</v>
      </c>
      <c r="N370" t="s">
        <v>21</v>
      </c>
      <c r="O370" s="2">
        <v>44232</v>
      </c>
    </row>
    <row r="371" spans="1:15" x14ac:dyDescent="0.35">
      <c r="A371" t="s">
        <v>408</v>
      </c>
      <c r="B371">
        <v>48</v>
      </c>
      <c r="C371" t="s">
        <v>29</v>
      </c>
      <c r="D371" t="s">
        <v>17</v>
      </c>
      <c r="E371" t="s">
        <v>46</v>
      </c>
      <c r="F371" t="s">
        <v>32</v>
      </c>
      <c r="G371" t="s">
        <v>26</v>
      </c>
      <c r="H371">
        <v>41908</v>
      </c>
      <c r="I371">
        <v>2</v>
      </c>
      <c r="J371">
        <v>3</v>
      </c>
      <c r="K371">
        <v>2</v>
      </c>
      <c r="L371" t="s">
        <v>27</v>
      </c>
      <c r="M371">
        <v>3</v>
      </c>
      <c r="N371" t="s">
        <v>21</v>
      </c>
      <c r="O371" s="2">
        <v>45735</v>
      </c>
    </row>
    <row r="372" spans="1:15" x14ac:dyDescent="0.35">
      <c r="A372" t="s">
        <v>409</v>
      </c>
      <c r="B372">
        <v>34</v>
      </c>
      <c r="C372" t="s">
        <v>29</v>
      </c>
      <c r="D372" t="s">
        <v>17</v>
      </c>
      <c r="E372" t="s">
        <v>46</v>
      </c>
      <c r="F372" t="s">
        <v>25</v>
      </c>
      <c r="G372" t="s">
        <v>26</v>
      </c>
      <c r="H372">
        <v>37942</v>
      </c>
      <c r="I372">
        <v>1</v>
      </c>
      <c r="J372">
        <v>1</v>
      </c>
      <c r="K372">
        <v>0</v>
      </c>
      <c r="L372" t="s">
        <v>21</v>
      </c>
      <c r="M372">
        <v>3</v>
      </c>
      <c r="N372" t="s">
        <v>27</v>
      </c>
      <c r="O372" s="2">
        <v>44316</v>
      </c>
    </row>
    <row r="373" spans="1:15" x14ac:dyDescent="0.35">
      <c r="A373" t="s">
        <v>410</v>
      </c>
      <c r="B373">
        <v>36</v>
      </c>
      <c r="C373" t="s">
        <v>29</v>
      </c>
      <c r="D373" t="s">
        <v>30</v>
      </c>
      <c r="E373" t="s">
        <v>34</v>
      </c>
      <c r="F373" t="s">
        <v>32</v>
      </c>
      <c r="G373" t="s">
        <v>37</v>
      </c>
      <c r="H373">
        <v>19930</v>
      </c>
      <c r="I373">
        <v>4</v>
      </c>
      <c r="J373">
        <v>2</v>
      </c>
      <c r="K373">
        <v>4</v>
      </c>
      <c r="L373" t="s">
        <v>27</v>
      </c>
      <c r="M373">
        <v>3</v>
      </c>
      <c r="N373" t="s">
        <v>21</v>
      </c>
      <c r="O373" s="2">
        <v>44557</v>
      </c>
    </row>
    <row r="374" spans="1:15" x14ac:dyDescent="0.35">
      <c r="A374" t="s">
        <v>411</v>
      </c>
      <c r="B374">
        <v>43</v>
      </c>
      <c r="C374" t="s">
        <v>16</v>
      </c>
      <c r="D374" t="s">
        <v>17</v>
      </c>
      <c r="E374" t="s">
        <v>18</v>
      </c>
      <c r="F374" t="s">
        <v>25</v>
      </c>
      <c r="G374" t="s">
        <v>37</v>
      </c>
      <c r="H374">
        <v>25345</v>
      </c>
      <c r="I374">
        <v>3</v>
      </c>
      <c r="J374">
        <v>4</v>
      </c>
      <c r="K374">
        <v>4</v>
      </c>
      <c r="L374" t="s">
        <v>27</v>
      </c>
      <c r="M374">
        <v>3</v>
      </c>
      <c r="N374" t="s">
        <v>21</v>
      </c>
      <c r="O374" s="2">
        <v>45856</v>
      </c>
    </row>
    <row r="375" spans="1:15" x14ac:dyDescent="0.35">
      <c r="A375" t="s">
        <v>412</v>
      </c>
      <c r="B375">
        <v>29</v>
      </c>
      <c r="C375" t="s">
        <v>16</v>
      </c>
      <c r="D375" t="s">
        <v>30</v>
      </c>
      <c r="E375" t="s">
        <v>34</v>
      </c>
      <c r="F375" t="s">
        <v>17</v>
      </c>
      <c r="G375" t="s">
        <v>26</v>
      </c>
      <c r="H375">
        <v>119086</v>
      </c>
      <c r="I375">
        <v>4</v>
      </c>
      <c r="J375">
        <v>2</v>
      </c>
      <c r="K375">
        <v>6</v>
      </c>
      <c r="L375" t="s">
        <v>27</v>
      </c>
      <c r="M375">
        <v>3</v>
      </c>
      <c r="N375" t="s">
        <v>21</v>
      </c>
      <c r="O375" s="2">
        <v>45780</v>
      </c>
    </row>
    <row r="376" spans="1:15" x14ac:dyDescent="0.35">
      <c r="A376" t="s">
        <v>413</v>
      </c>
      <c r="B376">
        <v>46</v>
      </c>
      <c r="C376" t="s">
        <v>16</v>
      </c>
      <c r="D376" t="s">
        <v>23</v>
      </c>
      <c r="E376" t="s">
        <v>55</v>
      </c>
      <c r="F376" t="s">
        <v>32</v>
      </c>
      <c r="G376" t="s">
        <v>20</v>
      </c>
      <c r="H376">
        <v>38789</v>
      </c>
      <c r="I376">
        <v>1</v>
      </c>
      <c r="J376">
        <v>1</v>
      </c>
      <c r="K376">
        <v>10</v>
      </c>
      <c r="L376" t="s">
        <v>21</v>
      </c>
      <c r="M376">
        <v>3</v>
      </c>
      <c r="N376" t="s">
        <v>21</v>
      </c>
      <c r="O376" s="2">
        <v>44452</v>
      </c>
    </row>
    <row r="377" spans="1:15" x14ac:dyDescent="0.35">
      <c r="A377" t="s">
        <v>414</v>
      </c>
      <c r="B377">
        <v>29</v>
      </c>
      <c r="C377" t="s">
        <v>29</v>
      </c>
      <c r="D377" t="s">
        <v>17</v>
      </c>
      <c r="E377" t="s">
        <v>18</v>
      </c>
      <c r="F377" t="s">
        <v>25</v>
      </c>
      <c r="G377" t="s">
        <v>20</v>
      </c>
      <c r="H377">
        <v>60534</v>
      </c>
      <c r="I377">
        <v>1</v>
      </c>
      <c r="J377">
        <v>2</v>
      </c>
      <c r="K377">
        <v>6</v>
      </c>
      <c r="L377" t="s">
        <v>27</v>
      </c>
      <c r="M377">
        <v>3</v>
      </c>
      <c r="N377" t="s">
        <v>21</v>
      </c>
      <c r="O377" s="2">
        <v>42985</v>
      </c>
    </row>
    <row r="378" spans="1:15" x14ac:dyDescent="0.35">
      <c r="A378" t="s">
        <v>415</v>
      </c>
      <c r="B378">
        <v>52</v>
      </c>
      <c r="C378" t="s">
        <v>29</v>
      </c>
      <c r="D378" t="s">
        <v>23</v>
      </c>
      <c r="E378" t="s">
        <v>42</v>
      </c>
      <c r="F378" t="s">
        <v>35</v>
      </c>
      <c r="G378" t="s">
        <v>20</v>
      </c>
      <c r="H378">
        <v>119029</v>
      </c>
      <c r="I378">
        <v>1</v>
      </c>
      <c r="J378">
        <v>2</v>
      </c>
      <c r="K378">
        <v>11</v>
      </c>
      <c r="L378" t="s">
        <v>27</v>
      </c>
      <c r="M378">
        <v>3</v>
      </c>
      <c r="N378" t="s">
        <v>21</v>
      </c>
      <c r="O378" s="2">
        <v>42753</v>
      </c>
    </row>
    <row r="379" spans="1:15" x14ac:dyDescent="0.35">
      <c r="A379" t="s">
        <v>416</v>
      </c>
      <c r="B379">
        <v>31</v>
      </c>
      <c r="C379" t="s">
        <v>16</v>
      </c>
      <c r="D379" t="s">
        <v>23</v>
      </c>
      <c r="E379" t="s">
        <v>55</v>
      </c>
      <c r="F379" t="s">
        <v>35</v>
      </c>
      <c r="G379" t="s">
        <v>37</v>
      </c>
      <c r="H379">
        <v>81942</v>
      </c>
      <c r="I379">
        <v>2</v>
      </c>
      <c r="J379">
        <v>3</v>
      </c>
      <c r="K379">
        <v>2</v>
      </c>
      <c r="L379" t="s">
        <v>27</v>
      </c>
      <c r="M379">
        <v>3</v>
      </c>
      <c r="N379" t="s">
        <v>21</v>
      </c>
      <c r="O379" s="2">
        <v>43585</v>
      </c>
    </row>
    <row r="380" spans="1:15" x14ac:dyDescent="0.35">
      <c r="A380" t="s">
        <v>417</v>
      </c>
      <c r="B380">
        <v>38</v>
      </c>
      <c r="C380" t="s">
        <v>29</v>
      </c>
      <c r="D380" t="s">
        <v>30</v>
      </c>
      <c r="E380" t="s">
        <v>57</v>
      </c>
      <c r="F380" t="s">
        <v>32</v>
      </c>
      <c r="G380" t="s">
        <v>26</v>
      </c>
      <c r="H380">
        <v>110618</v>
      </c>
      <c r="I380">
        <v>4</v>
      </c>
      <c r="J380">
        <v>3</v>
      </c>
      <c r="K380">
        <v>15</v>
      </c>
      <c r="L380" t="s">
        <v>27</v>
      </c>
      <c r="M380">
        <v>4</v>
      </c>
      <c r="N380" t="s">
        <v>21</v>
      </c>
      <c r="O380" s="2">
        <v>43533</v>
      </c>
    </row>
    <row r="381" spans="1:15" x14ac:dyDescent="0.35">
      <c r="A381" t="s">
        <v>418</v>
      </c>
      <c r="B381">
        <v>57</v>
      </c>
      <c r="C381" t="s">
        <v>29</v>
      </c>
      <c r="D381" t="s">
        <v>30</v>
      </c>
      <c r="E381" t="s">
        <v>31</v>
      </c>
      <c r="F381" t="s">
        <v>19</v>
      </c>
      <c r="G381" t="s">
        <v>26</v>
      </c>
      <c r="H381">
        <v>87617</v>
      </c>
      <c r="I381">
        <v>2</v>
      </c>
      <c r="J381">
        <v>4</v>
      </c>
      <c r="K381">
        <v>2</v>
      </c>
      <c r="L381" t="s">
        <v>27</v>
      </c>
      <c r="M381">
        <v>3</v>
      </c>
      <c r="N381" t="s">
        <v>27</v>
      </c>
      <c r="O381" s="2">
        <v>45012</v>
      </c>
    </row>
    <row r="382" spans="1:15" x14ac:dyDescent="0.35">
      <c r="A382" t="s">
        <v>419</v>
      </c>
      <c r="B382">
        <v>33</v>
      </c>
      <c r="C382" t="s">
        <v>16</v>
      </c>
      <c r="D382" t="s">
        <v>17</v>
      </c>
      <c r="E382" t="s">
        <v>46</v>
      </c>
      <c r="F382" t="s">
        <v>17</v>
      </c>
      <c r="G382" t="s">
        <v>26</v>
      </c>
      <c r="H382">
        <v>65720</v>
      </c>
      <c r="I382">
        <v>2</v>
      </c>
      <c r="J382">
        <v>3</v>
      </c>
      <c r="K382">
        <v>9</v>
      </c>
      <c r="L382" t="s">
        <v>27</v>
      </c>
      <c r="M382">
        <v>3</v>
      </c>
      <c r="N382" t="s">
        <v>21</v>
      </c>
      <c r="O382" s="2">
        <v>45179</v>
      </c>
    </row>
    <row r="383" spans="1:15" x14ac:dyDescent="0.35">
      <c r="A383" t="s">
        <v>420</v>
      </c>
      <c r="B383">
        <v>40</v>
      </c>
      <c r="C383" t="s">
        <v>16</v>
      </c>
      <c r="D383" t="s">
        <v>30</v>
      </c>
      <c r="E383" t="s">
        <v>57</v>
      </c>
      <c r="F383" t="s">
        <v>25</v>
      </c>
      <c r="G383" t="s">
        <v>20</v>
      </c>
      <c r="H383">
        <v>102004</v>
      </c>
      <c r="I383">
        <v>3</v>
      </c>
      <c r="J383">
        <v>1</v>
      </c>
      <c r="K383">
        <v>13</v>
      </c>
      <c r="L383" t="s">
        <v>21</v>
      </c>
      <c r="M383">
        <v>3</v>
      </c>
      <c r="N383" t="s">
        <v>21</v>
      </c>
      <c r="O383" s="2">
        <v>42551</v>
      </c>
    </row>
    <row r="384" spans="1:15" x14ac:dyDescent="0.35">
      <c r="A384" t="s">
        <v>421</v>
      </c>
      <c r="B384">
        <v>28</v>
      </c>
      <c r="C384" t="s">
        <v>16</v>
      </c>
      <c r="D384" t="s">
        <v>23</v>
      </c>
      <c r="E384" t="s">
        <v>24</v>
      </c>
      <c r="F384" t="s">
        <v>32</v>
      </c>
      <c r="G384" t="s">
        <v>20</v>
      </c>
      <c r="H384">
        <v>30943</v>
      </c>
      <c r="I384">
        <v>1</v>
      </c>
      <c r="J384">
        <v>4</v>
      </c>
      <c r="K384">
        <v>3</v>
      </c>
      <c r="L384" t="s">
        <v>21</v>
      </c>
      <c r="M384">
        <v>4</v>
      </c>
      <c r="N384" t="s">
        <v>21</v>
      </c>
      <c r="O384" s="2">
        <v>44101</v>
      </c>
    </row>
    <row r="385" spans="1:15" x14ac:dyDescent="0.35">
      <c r="A385" t="s">
        <v>422</v>
      </c>
      <c r="B385">
        <v>22</v>
      </c>
      <c r="C385" t="s">
        <v>29</v>
      </c>
      <c r="D385" t="s">
        <v>17</v>
      </c>
      <c r="E385" t="s">
        <v>18</v>
      </c>
      <c r="F385" t="s">
        <v>35</v>
      </c>
      <c r="G385" t="s">
        <v>20</v>
      </c>
      <c r="H385">
        <v>28480</v>
      </c>
      <c r="I385">
        <v>4</v>
      </c>
      <c r="J385">
        <v>1</v>
      </c>
      <c r="K385">
        <v>1</v>
      </c>
      <c r="L385" t="s">
        <v>27</v>
      </c>
      <c r="M385">
        <v>3</v>
      </c>
      <c r="N385" t="s">
        <v>21</v>
      </c>
      <c r="O385" s="2">
        <v>45412</v>
      </c>
    </row>
    <row r="386" spans="1:15" x14ac:dyDescent="0.35">
      <c r="A386" t="s">
        <v>423</v>
      </c>
      <c r="B386">
        <v>55</v>
      </c>
      <c r="C386" t="s">
        <v>16</v>
      </c>
      <c r="D386" t="s">
        <v>17</v>
      </c>
      <c r="E386" t="s">
        <v>46</v>
      </c>
      <c r="F386" t="s">
        <v>35</v>
      </c>
      <c r="G386" t="s">
        <v>20</v>
      </c>
      <c r="H386">
        <v>27225</v>
      </c>
      <c r="I386">
        <v>3</v>
      </c>
      <c r="J386">
        <v>1</v>
      </c>
      <c r="K386">
        <v>23</v>
      </c>
      <c r="L386" t="s">
        <v>27</v>
      </c>
      <c r="M386">
        <v>3</v>
      </c>
      <c r="N386" t="s">
        <v>21</v>
      </c>
      <c r="O386" s="2">
        <v>42800</v>
      </c>
    </row>
    <row r="387" spans="1:15" x14ac:dyDescent="0.35">
      <c r="A387" t="s">
        <v>424</v>
      </c>
      <c r="B387">
        <v>34</v>
      </c>
      <c r="C387" t="s">
        <v>29</v>
      </c>
      <c r="D387" t="s">
        <v>17</v>
      </c>
      <c r="E387" t="s">
        <v>46</v>
      </c>
      <c r="F387" t="s">
        <v>35</v>
      </c>
      <c r="G387" t="s">
        <v>37</v>
      </c>
      <c r="H387">
        <v>104098</v>
      </c>
      <c r="I387">
        <v>2</v>
      </c>
      <c r="J387">
        <v>2</v>
      </c>
      <c r="K387">
        <v>8</v>
      </c>
      <c r="L387" t="s">
        <v>27</v>
      </c>
      <c r="M387">
        <v>4</v>
      </c>
      <c r="N387" t="s">
        <v>21</v>
      </c>
      <c r="O387" s="2">
        <v>42869</v>
      </c>
    </row>
    <row r="388" spans="1:15" x14ac:dyDescent="0.35">
      <c r="A388" t="s">
        <v>425</v>
      </c>
      <c r="B388">
        <v>28</v>
      </c>
      <c r="C388" t="s">
        <v>29</v>
      </c>
      <c r="D388" t="s">
        <v>17</v>
      </c>
      <c r="E388" t="s">
        <v>46</v>
      </c>
      <c r="F388" t="s">
        <v>32</v>
      </c>
      <c r="G388" t="s">
        <v>26</v>
      </c>
      <c r="H388">
        <v>90085</v>
      </c>
      <c r="I388">
        <v>4</v>
      </c>
      <c r="J388">
        <v>3</v>
      </c>
      <c r="K388">
        <v>2</v>
      </c>
      <c r="L388" t="s">
        <v>27</v>
      </c>
      <c r="M388">
        <v>3</v>
      </c>
      <c r="N388" t="s">
        <v>21</v>
      </c>
      <c r="O388" s="2">
        <v>45634</v>
      </c>
    </row>
    <row r="389" spans="1:15" x14ac:dyDescent="0.35">
      <c r="A389" t="s">
        <v>426</v>
      </c>
      <c r="B389">
        <v>48</v>
      </c>
      <c r="C389" t="s">
        <v>29</v>
      </c>
      <c r="D389" t="s">
        <v>30</v>
      </c>
      <c r="E389" t="s">
        <v>31</v>
      </c>
      <c r="F389" t="s">
        <v>52</v>
      </c>
      <c r="G389" t="s">
        <v>37</v>
      </c>
      <c r="H389">
        <v>60395</v>
      </c>
      <c r="I389">
        <v>2</v>
      </c>
      <c r="J389">
        <v>2</v>
      </c>
      <c r="K389">
        <v>23</v>
      </c>
      <c r="L389" t="s">
        <v>21</v>
      </c>
      <c r="M389">
        <v>4</v>
      </c>
      <c r="N389" t="s">
        <v>21</v>
      </c>
      <c r="O389" s="2">
        <v>44086</v>
      </c>
    </row>
    <row r="390" spans="1:15" x14ac:dyDescent="0.35">
      <c r="A390" t="s">
        <v>427</v>
      </c>
      <c r="B390">
        <v>24</v>
      </c>
      <c r="C390" t="s">
        <v>16</v>
      </c>
      <c r="D390" t="s">
        <v>30</v>
      </c>
      <c r="E390" t="s">
        <v>34</v>
      </c>
      <c r="F390" t="s">
        <v>32</v>
      </c>
      <c r="G390" t="s">
        <v>20</v>
      </c>
      <c r="H390">
        <v>85844</v>
      </c>
      <c r="I390">
        <v>2</v>
      </c>
      <c r="J390">
        <v>3</v>
      </c>
      <c r="K390">
        <v>0</v>
      </c>
      <c r="L390" t="s">
        <v>21</v>
      </c>
      <c r="M390">
        <v>3</v>
      </c>
      <c r="N390" t="s">
        <v>21</v>
      </c>
      <c r="O390" s="2">
        <v>43822</v>
      </c>
    </row>
    <row r="391" spans="1:15" x14ac:dyDescent="0.35">
      <c r="A391" t="s">
        <v>428</v>
      </c>
      <c r="B391">
        <v>57</v>
      </c>
      <c r="C391" t="s">
        <v>29</v>
      </c>
      <c r="D391" t="s">
        <v>17</v>
      </c>
      <c r="E391" t="s">
        <v>46</v>
      </c>
      <c r="F391" t="s">
        <v>17</v>
      </c>
      <c r="G391" t="s">
        <v>20</v>
      </c>
      <c r="H391">
        <v>22946</v>
      </c>
      <c r="I391">
        <v>4</v>
      </c>
      <c r="J391">
        <v>3</v>
      </c>
      <c r="K391">
        <v>3</v>
      </c>
      <c r="L391" t="s">
        <v>27</v>
      </c>
      <c r="M391">
        <v>3</v>
      </c>
      <c r="N391" t="s">
        <v>27</v>
      </c>
      <c r="O391" s="2">
        <v>44175</v>
      </c>
    </row>
    <row r="392" spans="1:15" x14ac:dyDescent="0.35">
      <c r="A392" t="s">
        <v>429</v>
      </c>
      <c r="B392">
        <v>41</v>
      </c>
      <c r="C392" t="s">
        <v>29</v>
      </c>
      <c r="D392" t="s">
        <v>23</v>
      </c>
      <c r="E392" t="s">
        <v>55</v>
      </c>
      <c r="F392" t="s">
        <v>35</v>
      </c>
      <c r="G392" t="s">
        <v>26</v>
      </c>
      <c r="H392">
        <v>70402</v>
      </c>
      <c r="I392">
        <v>2</v>
      </c>
      <c r="J392">
        <v>1</v>
      </c>
      <c r="K392">
        <v>18</v>
      </c>
      <c r="L392" t="s">
        <v>27</v>
      </c>
      <c r="M392">
        <v>3</v>
      </c>
      <c r="N392" t="s">
        <v>21</v>
      </c>
      <c r="O392" s="2">
        <v>43421</v>
      </c>
    </row>
    <row r="393" spans="1:15" x14ac:dyDescent="0.35">
      <c r="A393" t="s">
        <v>430</v>
      </c>
      <c r="B393">
        <v>41</v>
      </c>
      <c r="C393" t="s">
        <v>29</v>
      </c>
      <c r="D393" t="s">
        <v>17</v>
      </c>
      <c r="E393" t="s">
        <v>18</v>
      </c>
      <c r="F393" t="s">
        <v>19</v>
      </c>
      <c r="G393" t="s">
        <v>20</v>
      </c>
      <c r="H393">
        <v>68010</v>
      </c>
      <c r="I393">
        <v>1</v>
      </c>
      <c r="J393">
        <v>1</v>
      </c>
      <c r="K393">
        <v>18</v>
      </c>
      <c r="L393" t="s">
        <v>27</v>
      </c>
      <c r="M393">
        <v>3</v>
      </c>
      <c r="N393" t="s">
        <v>21</v>
      </c>
      <c r="O393" s="2">
        <v>45562</v>
      </c>
    </row>
    <row r="394" spans="1:15" x14ac:dyDescent="0.35">
      <c r="A394" t="s">
        <v>431</v>
      </c>
      <c r="B394">
        <v>46</v>
      </c>
      <c r="C394" t="s">
        <v>16</v>
      </c>
      <c r="D394" t="s">
        <v>17</v>
      </c>
      <c r="E394" t="s">
        <v>18</v>
      </c>
      <c r="F394" t="s">
        <v>25</v>
      </c>
      <c r="G394" t="s">
        <v>20</v>
      </c>
      <c r="H394">
        <v>86731</v>
      </c>
      <c r="I394">
        <v>1</v>
      </c>
      <c r="J394">
        <v>3</v>
      </c>
      <c r="K394">
        <v>9</v>
      </c>
      <c r="L394" t="s">
        <v>27</v>
      </c>
      <c r="M394">
        <v>3</v>
      </c>
      <c r="N394" t="s">
        <v>21</v>
      </c>
      <c r="O394" s="2">
        <v>46120</v>
      </c>
    </row>
    <row r="395" spans="1:15" x14ac:dyDescent="0.35">
      <c r="A395" t="s">
        <v>432</v>
      </c>
      <c r="B395">
        <v>50</v>
      </c>
      <c r="C395" t="s">
        <v>16</v>
      </c>
      <c r="D395" t="s">
        <v>17</v>
      </c>
      <c r="E395" t="s">
        <v>46</v>
      </c>
      <c r="F395" t="s">
        <v>52</v>
      </c>
      <c r="G395" t="s">
        <v>26</v>
      </c>
      <c r="H395">
        <v>74614</v>
      </c>
      <c r="I395">
        <v>3</v>
      </c>
      <c r="J395">
        <v>4</v>
      </c>
      <c r="K395">
        <v>7</v>
      </c>
      <c r="L395" t="s">
        <v>27</v>
      </c>
      <c r="M395">
        <v>3</v>
      </c>
      <c r="N395" t="s">
        <v>27</v>
      </c>
      <c r="O395" s="2">
        <v>44758</v>
      </c>
    </row>
    <row r="396" spans="1:15" x14ac:dyDescent="0.35">
      <c r="A396" t="s">
        <v>433</v>
      </c>
      <c r="B396">
        <v>57</v>
      </c>
      <c r="C396" t="s">
        <v>29</v>
      </c>
      <c r="D396" t="s">
        <v>17</v>
      </c>
      <c r="E396" t="s">
        <v>18</v>
      </c>
      <c r="F396" t="s">
        <v>17</v>
      </c>
      <c r="G396" t="s">
        <v>20</v>
      </c>
      <c r="H396">
        <v>29151</v>
      </c>
      <c r="I396">
        <v>4</v>
      </c>
      <c r="J396">
        <v>4</v>
      </c>
      <c r="K396">
        <v>8</v>
      </c>
      <c r="L396" t="s">
        <v>21</v>
      </c>
      <c r="M396">
        <v>3</v>
      </c>
      <c r="N396" t="s">
        <v>21</v>
      </c>
      <c r="O396" s="2">
        <v>43109</v>
      </c>
    </row>
    <row r="397" spans="1:15" x14ac:dyDescent="0.35">
      <c r="A397" t="s">
        <v>434</v>
      </c>
      <c r="B397">
        <v>58</v>
      </c>
      <c r="C397" t="s">
        <v>29</v>
      </c>
      <c r="D397" t="s">
        <v>30</v>
      </c>
      <c r="E397" t="s">
        <v>40</v>
      </c>
      <c r="F397" t="s">
        <v>35</v>
      </c>
      <c r="G397" t="s">
        <v>26</v>
      </c>
      <c r="H397">
        <v>98739</v>
      </c>
      <c r="I397">
        <v>2</v>
      </c>
      <c r="J397">
        <v>2</v>
      </c>
      <c r="K397">
        <v>17</v>
      </c>
      <c r="L397" t="s">
        <v>27</v>
      </c>
      <c r="M397">
        <v>3</v>
      </c>
      <c r="N397" t="s">
        <v>21</v>
      </c>
      <c r="O397" s="2">
        <v>45528</v>
      </c>
    </row>
    <row r="398" spans="1:15" x14ac:dyDescent="0.35">
      <c r="A398" t="s">
        <v>435</v>
      </c>
      <c r="B398">
        <v>48</v>
      </c>
      <c r="C398" t="s">
        <v>29</v>
      </c>
      <c r="D398" t="s">
        <v>23</v>
      </c>
      <c r="E398" t="s">
        <v>24</v>
      </c>
      <c r="F398" t="s">
        <v>25</v>
      </c>
      <c r="G398" t="s">
        <v>37</v>
      </c>
      <c r="H398">
        <v>63653</v>
      </c>
      <c r="I398">
        <v>2</v>
      </c>
      <c r="J398">
        <v>3</v>
      </c>
      <c r="K398">
        <v>11</v>
      </c>
      <c r="L398" t="s">
        <v>21</v>
      </c>
      <c r="M398">
        <v>3</v>
      </c>
      <c r="N398" t="s">
        <v>21</v>
      </c>
      <c r="O398" s="2">
        <v>42203</v>
      </c>
    </row>
    <row r="399" spans="1:15" x14ac:dyDescent="0.35">
      <c r="A399" t="s">
        <v>436</v>
      </c>
      <c r="B399">
        <v>31</v>
      </c>
      <c r="C399" t="s">
        <v>16</v>
      </c>
      <c r="D399" t="s">
        <v>17</v>
      </c>
      <c r="E399" t="s">
        <v>46</v>
      </c>
      <c r="F399" t="s">
        <v>35</v>
      </c>
      <c r="G399" t="s">
        <v>20</v>
      </c>
      <c r="H399">
        <v>48603</v>
      </c>
      <c r="I399">
        <v>2</v>
      </c>
      <c r="J399">
        <v>3</v>
      </c>
      <c r="K399">
        <v>0</v>
      </c>
      <c r="L399" t="s">
        <v>21</v>
      </c>
      <c r="M399">
        <v>3</v>
      </c>
      <c r="N399" t="s">
        <v>21</v>
      </c>
      <c r="O399" s="2">
        <v>42707</v>
      </c>
    </row>
    <row r="400" spans="1:15" x14ac:dyDescent="0.35">
      <c r="A400" t="s">
        <v>437</v>
      </c>
      <c r="B400">
        <v>31</v>
      </c>
      <c r="C400" t="s">
        <v>29</v>
      </c>
      <c r="D400" t="s">
        <v>23</v>
      </c>
      <c r="E400" t="s">
        <v>42</v>
      </c>
      <c r="F400" t="s">
        <v>25</v>
      </c>
      <c r="G400" t="s">
        <v>26</v>
      </c>
      <c r="H400">
        <v>62993</v>
      </c>
      <c r="I400">
        <v>1</v>
      </c>
      <c r="J400">
        <v>3</v>
      </c>
      <c r="K400">
        <v>0</v>
      </c>
      <c r="L400" t="s">
        <v>21</v>
      </c>
      <c r="M400">
        <v>4</v>
      </c>
      <c r="N400" t="s">
        <v>21</v>
      </c>
      <c r="O400" s="2">
        <v>42191</v>
      </c>
    </row>
    <row r="401" spans="1:15" x14ac:dyDescent="0.35">
      <c r="A401" t="s">
        <v>438</v>
      </c>
      <c r="B401">
        <v>35</v>
      </c>
      <c r="C401" t="s">
        <v>29</v>
      </c>
      <c r="D401" t="s">
        <v>17</v>
      </c>
      <c r="E401" t="s">
        <v>18</v>
      </c>
      <c r="F401" t="s">
        <v>25</v>
      </c>
      <c r="G401" t="s">
        <v>20</v>
      </c>
      <c r="H401">
        <v>81311</v>
      </c>
      <c r="I401">
        <v>2</v>
      </c>
      <c r="J401">
        <v>1</v>
      </c>
      <c r="K401">
        <v>8</v>
      </c>
      <c r="L401" t="s">
        <v>21</v>
      </c>
      <c r="M401">
        <v>4</v>
      </c>
      <c r="N401" t="s">
        <v>21</v>
      </c>
      <c r="O401" s="2">
        <v>42361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defaultRowHeight="14.5" x14ac:dyDescent="0.35"/>
  <sheetData>
    <row r="1" spans="1:9" x14ac:dyDescent="0.35">
      <c r="A1" s="3" t="s">
        <v>3</v>
      </c>
      <c r="B1" s="3" t="s">
        <v>439</v>
      </c>
      <c r="C1" s="3" t="s">
        <v>440</v>
      </c>
      <c r="D1" s="4"/>
      <c r="E1" s="3" t="s">
        <v>2</v>
      </c>
      <c r="F1" s="3" t="s">
        <v>441</v>
      </c>
      <c r="G1" s="4"/>
      <c r="H1" s="3" t="s">
        <v>442</v>
      </c>
      <c r="I1" s="3" t="s">
        <v>441</v>
      </c>
    </row>
    <row r="2" spans="1:9" x14ac:dyDescent="0.35">
      <c r="A2" s="5" t="s">
        <v>23</v>
      </c>
      <c r="B2" s="5">
        <f>COUNTIF('HR Data'!D2:D401,A2)</f>
        <v>117</v>
      </c>
      <c r="C2" s="5">
        <f>COUNTIFS('HR Data'!D2:D401,A2,'HR Data'!N2:N401,"Yes")</f>
        <v>19</v>
      </c>
      <c r="E2" s="5" t="s">
        <v>16</v>
      </c>
      <c r="F2" s="5">
        <f>COUNTIF('HR Data'!C2:C401,E2)</f>
        <v>193</v>
      </c>
      <c r="H2" s="5" t="s">
        <v>443</v>
      </c>
      <c r="I2" s="5">
        <f>COUNTIFS('HR Data'!B2:B401,"&gt;=18",'HR Data'!B2:B401,"&lt;=25")</f>
        <v>40</v>
      </c>
    </row>
    <row r="3" spans="1:9" x14ac:dyDescent="0.35">
      <c r="A3" s="5" t="s">
        <v>30</v>
      </c>
      <c r="B3" s="5">
        <f>COUNTIF('HR Data'!D2:D401,A3)</f>
        <v>135</v>
      </c>
      <c r="C3" s="5">
        <f>COUNTIFS('HR Data'!D2:D401,A3,'HR Data'!N2:N401,"Yes")</f>
        <v>27</v>
      </c>
      <c r="E3" s="5" t="s">
        <v>29</v>
      </c>
      <c r="F3" s="5">
        <f>COUNTIF('HR Data'!C2:C401,E3)</f>
        <v>207</v>
      </c>
      <c r="H3" s="5" t="s">
        <v>444</v>
      </c>
      <c r="I3" s="5">
        <f>COUNTIFS('HR Data'!B2:B401,"&gt;=26",'HR Data'!B2:B401,"&lt;=35")</f>
        <v>123</v>
      </c>
    </row>
    <row r="4" spans="1:9" x14ac:dyDescent="0.35">
      <c r="A4" s="5" t="s">
        <v>17</v>
      </c>
      <c r="B4" s="5">
        <f>COUNTIF('HR Data'!D2:D401,A4)</f>
        <v>148</v>
      </c>
      <c r="C4" s="5">
        <f>COUNTIFS('HR Data'!D2:D401,A4,'HR Data'!N2:N401,"Yes")</f>
        <v>25</v>
      </c>
      <c r="H4" s="5" t="s">
        <v>445</v>
      </c>
      <c r="I4" s="5">
        <f>COUNTIFS('HR Data'!B2:B401,"&gt;=36",'HR Data'!B2:B401,"&lt;=45")</f>
        <v>102</v>
      </c>
    </row>
    <row r="5" spans="1:9" x14ac:dyDescent="0.35">
      <c r="H5" s="5" t="s">
        <v>446</v>
      </c>
      <c r="I5" s="5">
        <f>COUNTIFS('HR Data'!B2:B401,"&gt;=46",'HR Data'!B2:B401,"&lt;=55")</f>
        <v>105</v>
      </c>
    </row>
    <row r="6" spans="1:9" x14ac:dyDescent="0.35">
      <c r="H6" s="5" t="s">
        <v>447</v>
      </c>
      <c r="I6" s="5">
        <f>COUNTIF('HR Data'!B2:B401,"&gt;=56")</f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 Data</vt:lpstr>
      <vt:lpstr>Summary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kumar</cp:lastModifiedBy>
  <dcterms:created xsi:type="dcterms:W3CDTF">2026-08-27T04:17:46Z</dcterms:created>
  <dcterms:modified xsi:type="dcterms:W3CDTF">2026-09-09T07:13:49Z</dcterms:modified>
</cp:coreProperties>
</file>